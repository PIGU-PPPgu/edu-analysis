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物理类" sheetId="2" r:id="rId1"/>
    <sheet name="历史类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" authorId="0">
      <text>
        <r>
          <rPr>
            <sz val="10"/>
            <rFont val="宋体"/>
            <charset val="134"/>
          </rPr>
          <t>学生主科总分和选考科目分数汇总</t>
        </r>
      </text>
    </comment>
    <comment ref="F1" authorId="0">
      <text>
        <r>
          <rPr>
            <sz val="10"/>
            <rFont val="宋体"/>
            <charset val="134"/>
          </rPr>
          <t>考试主科设置的学科分数汇总分数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" authorId="0">
      <text>
        <r>
          <rPr>
            <sz val="10"/>
            <rFont val="宋体"/>
            <charset val="134"/>
          </rPr>
          <t>学生主科总分和选考科目分数汇总</t>
        </r>
      </text>
    </comment>
    <comment ref="F1" authorId="0">
      <text>
        <r>
          <rPr>
            <sz val="10"/>
            <rFont val="宋体"/>
            <charset val="134"/>
          </rPr>
          <t>考试主科设置的学科分数汇总分数</t>
        </r>
      </text>
    </comment>
  </commentList>
</comments>
</file>

<file path=xl/sharedStrings.xml><?xml version="1.0" encoding="utf-8"?>
<sst xmlns="http://schemas.openxmlformats.org/spreadsheetml/2006/main" count="2072" uniqueCount="308">
  <si>
    <t>班级</t>
  </si>
  <si>
    <t>姓名</t>
  </si>
  <si>
    <t>选考总分</t>
  </si>
  <si>
    <t>原始分</t>
  </si>
  <si>
    <t>校次</t>
  </si>
  <si>
    <t>主科总分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</si>
  <si>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</si>
  <si>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</si>
  <si>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</si>
  <si>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</si>
  <si>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</si>
  <si>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</si>
  <si>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</si>
  <si>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</si>
  <si>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</si>
  <si>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日语</t>
  </si>
  <si>
    <t>中考分</t>
  </si>
  <si>
    <t>中考排名</t>
  </si>
  <si>
    <t>进退步</t>
  </si>
  <si>
    <t>高二年级3班</t>
  </si>
  <si>
    <t>梁曦文</t>
  </si>
  <si>
    <t>-</t>
  </si>
  <si>
    <t>高二年级1班</t>
  </si>
  <si>
    <t>黄铭彬</t>
  </si>
  <si>
    <t>高二年级4班</t>
  </si>
  <si>
    <t>石天宇</t>
  </si>
  <si>
    <t>高二年级2班</t>
  </si>
  <si>
    <t>陈嘉豪</t>
  </si>
  <si>
    <t>邹溢慧</t>
  </si>
  <si>
    <t>张宇恒</t>
  </si>
  <si>
    <t>鲍奕铭</t>
  </si>
  <si>
    <t>陈政旭</t>
  </si>
  <si>
    <t>崔松</t>
  </si>
  <si>
    <t>林茜</t>
  </si>
  <si>
    <t>鲁畅</t>
  </si>
  <si>
    <t>陈泳熙</t>
  </si>
  <si>
    <t>戴睿翔</t>
  </si>
  <si>
    <t>高二年级5班</t>
  </si>
  <si>
    <t>曹圳雨</t>
  </si>
  <si>
    <t>范圳远</t>
  </si>
  <si>
    <t>白梓谦</t>
  </si>
  <si>
    <t>谢泽皓</t>
  </si>
  <si>
    <t>周钰涵</t>
  </si>
  <si>
    <t>赵习皓</t>
  </si>
  <si>
    <t>赖鑫瑞</t>
  </si>
  <si>
    <t>赵睿麟</t>
  </si>
  <si>
    <t>欧志鑫</t>
  </si>
  <si>
    <t>唐锦菏</t>
  </si>
  <si>
    <t>游可欣</t>
  </si>
  <si>
    <t>郭晋豪</t>
  </si>
  <si>
    <t>张瑞灵</t>
  </si>
  <si>
    <t>张可馨</t>
  </si>
  <si>
    <t>邓雅丹</t>
  </si>
  <si>
    <t>严可馨</t>
  </si>
  <si>
    <t>古振源</t>
  </si>
  <si>
    <t>彭浩宇</t>
  </si>
  <si>
    <t>万安宸</t>
  </si>
  <si>
    <t>黄炜桐</t>
  </si>
  <si>
    <t>魏乐</t>
  </si>
  <si>
    <t>陈泽3</t>
  </si>
  <si>
    <t>李艾琪</t>
  </si>
  <si>
    <t>卢子谦</t>
  </si>
  <si>
    <t>孙伯特</t>
  </si>
  <si>
    <t>苏彦豪</t>
  </si>
  <si>
    <t>陈艺鸣</t>
  </si>
  <si>
    <t>王千予</t>
  </si>
  <si>
    <t>路林轩</t>
  </si>
  <si>
    <t>李铭哲</t>
  </si>
  <si>
    <t>黄煊</t>
  </si>
  <si>
    <t>姚奕琳</t>
  </si>
  <si>
    <t>李欣怡</t>
  </si>
  <si>
    <t>张文熙</t>
  </si>
  <si>
    <t>曾启浩</t>
  </si>
  <si>
    <t>邝文渊</t>
  </si>
  <si>
    <t>邱晨曦</t>
  </si>
  <si>
    <t>张梓轩</t>
  </si>
  <si>
    <t>程文熙</t>
  </si>
  <si>
    <t>张文博</t>
  </si>
  <si>
    <t>郝宇泽</t>
  </si>
  <si>
    <t>邱俊杰</t>
  </si>
  <si>
    <t>陈乾松</t>
  </si>
  <si>
    <t>贺卿沣</t>
  </si>
  <si>
    <t>柯铭</t>
  </si>
  <si>
    <t>周靖熙</t>
  </si>
  <si>
    <t>余青稞</t>
  </si>
  <si>
    <t>王子琳</t>
  </si>
  <si>
    <t>袁嘉华</t>
  </si>
  <si>
    <t>曾杰轩</t>
  </si>
  <si>
    <t>史宇希</t>
  </si>
  <si>
    <t>刘煜</t>
  </si>
  <si>
    <t>蔡予涵</t>
  </si>
  <si>
    <t>刘仪</t>
  </si>
  <si>
    <t>陈俊坚</t>
  </si>
  <si>
    <t>黄炜杰</t>
  </si>
  <si>
    <t>黄晨宇</t>
  </si>
  <si>
    <t>关思聪</t>
  </si>
  <si>
    <t>胡睿东</t>
  </si>
  <si>
    <t>李兴蕊</t>
  </si>
  <si>
    <t>李云宇</t>
  </si>
  <si>
    <t>张昊哲</t>
  </si>
  <si>
    <t>郭灯辉</t>
  </si>
  <si>
    <t>朱梓灵</t>
  </si>
  <si>
    <t>卢子涵</t>
  </si>
  <si>
    <t>石芮菡</t>
  </si>
  <si>
    <t>郑仁杰</t>
  </si>
  <si>
    <t>叶梓轩</t>
  </si>
  <si>
    <t>李书妍</t>
  </si>
  <si>
    <t>林国贞</t>
  </si>
  <si>
    <t>余子易</t>
  </si>
  <si>
    <t>温文君</t>
  </si>
  <si>
    <t>刘奕帆</t>
  </si>
  <si>
    <t>谭灏鹏</t>
  </si>
  <si>
    <t>施悦</t>
  </si>
  <si>
    <t>郑嘉曦</t>
  </si>
  <si>
    <t>蔡慧妍</t>
  </si>
  <si>
    <t>李思远</t>
  </si>
  <si>
    <t>黄颂然</t>
  </si>
  <si>
    <t>林思恬</t>
  </si>
  <si>
    <t>张佳恩</t>
  </si>
  <si>
    <t>陈泽1</t>
  </si>
  <si>
    <t>吴悠</t>
  </si>
  <si>
    <t>苏楚菲</t>
  </si>
  <si>
    <t>陈泽2</t>
  </si>
  <si>
    <t>赖凌智</t>
  </si>
  <si>
    <t>梁钊荣</t>
  </si>
  <si>
    <t>李炫燃</t>
  </si>
  <si>
    <t>石清扬</t>
  </si>
  <si>
    <t>严钰雪</t>
  </si>
  <si>
    <t>廖璟宇</t>
  </si>
  <si>
    <t>李敬韬</t>
  </si>
  <si>
    <t>何美凤</t>
  </si>
  <si>
    <t>廖浩锋</t>
  </si>
  <si>
    <t>杨嘉伟</t>
  </si>
  <si>
    <t>朱珊珊</t>
  </si>
  <si>
    <t>李铠旭</t>
  </si>
  <si>
    <t>周志敏</t>
  </si>
  <si>
    <t>刘雨蓉</t>
  </si>
  <si>
    <t>车雨玲</t>
  </si>
  <si>
    <t>阮籽裕</t>
  </si>
  <si>
    <t>舒文琦</t>
  </si>
  <si>
    <t>史一诺</t>
  </si>
  <si>
    <t>谢奥儿</t>
  </si>
  <si>
    <t>朴智英</t>
  </si>
  <si>
    <t>杨思滢</t>
  </si>
  <si>
    <t>周子琦</t>
  </si>
  <si>
    <t>张恺</t>
  </si>
  <si>
    <t>谭涵琳</t>
  </si>
  <si>
    <t>王鹏翔</t>
  </si>
  <si>
    <t>朱家俊</t>
  </si>
  <si>
    <t>林永乐</t>
  </si>
  <si>
    <t>黄家烨</t>
  </si>
  <si>
    <t>陆思洁</t>
  </si>
  <si>
    <t>吴卓恒</t>
  </si>
  <si>
    <t>徐嘉乐</t>
  </si>
  <si>
    <t>徐芊芊</t>
  </si>
  <si>
    <t>杨宸霁</t>
  </si>
  <si>
    <t>吴恺晴</t>
  </si>
  <si>
    <t>李诗宇</t>
  </si>
  <si>
    <t>何嘉淇</t>
  </si>
  <si>
    <t>梁宏</t>
  </si>
  <si>
    <t>陈铮颖</t>
  </si>
  <si>
    <t>董骐源</t>
  </si>
  <si>
    <t>文乐翔</t>
  </si>
  <si>
    <t>吴宇豪</t>
  </si>
  <si>
    <t>高钰炎</t>
  </si>
  <si>
    <t>曾杰</t>
  </si>
  <si>
    <t>陈宇轩</t>
  </si>
  <si>
    <t>宋洁</t>
  </si>
  <si>
    <t>吴薇</t>
  </si>
  <si>
    <t>文雪娜</t>
  </si>
  <si>
    <t>陶智</t>
  </si>
  <si>
    <t>窦晨</t>
  </si>
  <si>
    <t>陈子安</t>
  </si>
  <si>
    <t>陈骊霖</t>
  </si>
  <si>
    <t>曹雪菲</t>
  </si>
  <si>
    <t>谭加昕</t>
  </si>
  <si>
    <t>黄浩城</t>
  </si>
  <si>
    <t>刘政灏</t>
  </si>
  <si>
    <t>郑天皓</t>
  </si>
  <si>
    <t>冯佳琪</t>
  </si>
  <si>
    <t>李天问</t>
  </si>
  <si>
    <t>赖佳惒</t>
  </si>
  <si>
    <t>郝婧贻</t>
  </si>
  <si>
    <t>王祉墨</t>
  </si>
  <si>
    <t>王盈</t>
  </si>
  <si>
    <t>陈锦华</t>
  </si>
  <si>
    <t>钟如松</t>
  </si>
  <si>
    <t>许益铃</t>
  </si>
  <si>
    <t>王紫萱</t>
  </si>
  <si>
    <t>马梦圆</t>
  </si>
  <si>
    <t>张哲凯</t>
  </si>
  <si>
    <t>翁子涵</t>
  </si>
  <si>
    <t>徐梓淇</t>
  </si>
  <si>
    <t>鲁谦诚</t>
  </si>
  <si>
    <t>舒锦鹏</t>
  </si>
  <si>
    <t>刘家豪</t>
  </si>
  <si>
    <t>陈加杨</t>
  </si>
  <si>
    <t>黎俊翔</t>
  </si>
  <si>
    <t>田博武</t>
  </si>
  <si>
    <t>何思怡</t>
  </si>
  <si>
    <t>陈文锶</t>
  </si>
  <si>
    <t>许藏元</t>
  </si>
  <si>
    <t>董燕蒙</t>
  </si>
  <si>
    <t>黄悦扬</t>
  </si>
  <si>
    <t>李纪悦</t>
  </si>
  <si>
    <t>蒋天怿</t>
  </si>
  <si>
    <t>周楷涵</t>
  </si>
  <si>
    <t>王敏欢</t>
  </si>
  <si>
    <t>李艺嘉</t>
  </si>
  <si>
    <t>杨慧</t>
  </si>
  <si>
    <t>吴家仪</t>
  </si>
  <si>
    <t>刘智宇</t>
  </si>
  <si>
    <t>郝逸婷</t>
  </si>
  <si>
    <t>姚筱冉</t>
  </si>
  <si>
    <t>何思颖</t>
  </si>
  <si>
    <t>李洁</t>
  </si>
  <si>
    <t>陈思维</t>
  </si>
  <si>
    <t>肖性怡</t>
  </si>
  <si>
    <t>肖千予</t>
  </si>
  <si>
    <t>刘渊旋</t>
  </si>
  <si>
    <t>王兆巡</t>
  </si>
  <si>
    <t>陈远豪</t>
  </si>
  <si>
    <t>漆子慧</t>
  </si>
  <si>
    <t>韦庭旭</t>
  </si>
  <si>
    <t>胡若愚</t>
  </si>
  <si>
    <t>曾念晴</t>
  </si>
  <si>
    <t>付天宇</t>
  </si>
  <si>
    <t>罗文杰</t>
  </si>
  <si>
    <t>杨文轩</t>
  </si>
  <si>
    <t>孔畅</t>
  </si>
  <si>
    <t>周翰霖</t>
  </si>
  <si>
    <t>张语航</t>
  </si>
  <si>
    <t>蔡宇馨</t>
  </si>
  <si>
    <t>张田甜</t>
  </si>
  <si>
    <t>黄俊逸</t>
  </si>
  <si>
    <t>闫千淇</t>
  </si>
  <si>
    <t>王子越</t>
  </si>
  <si>
    <t>刘若涵</t>
  </si>
  <si>
    <t>吴梓睿</t>
  </si>
  <si>
    <t>程梓涵</t>
  </si>
  <si>
    <t>刘莉</t>
  </si>
  <si>
    <t>刘思贤</t>
  </si>
  <si>
    <t>杨家乐</t>
  </si>
  <si>
    <t>陈秋宇</t>
  </si>
  <si>
    <t>张婷</t>
  </si>
  <si>
    <t>夏林晨</t>
  </si>
  <si>
    <t>柯杰文</t>
  </si>
  <si>
    <t>刘志烁</t>
  </si>
  <si>
    <t>叶美玲</t>
  </si>
  <si>
    <t>杨意</t>
  </si>
  <si>
    <t>梁耀彬</t>
  </si>
  <si>
    <t>吕锟</t>
  </si>
  <si>
    <t>丁致远</t>
  </si>
  <si>
    <t>谢展毅</t>
  </si>
  <si>
    <t>牟然</t>
  </si>
  <si>
    <t>陆晓晓</t>
  </si>
  <si>
    <t>叶梓杰</t>
  </si>
  <si>
    <t>郑语煊</t>
  </si>
  <si>
    <t>何孟夏</t>
  </si>
  <si>
    <t>郑意侯</t>
  </si>
  <si>
    <t>叶柏鸿</t>
  </si>
  <si>
    <t>朱槿柯</t>
  </si>
  <si>
    <t>高二年级6班</t>
  </si>
  <si>
    <t>张雨欣</t>
  </si>
  <si>
    <t>黄启楠</t>
  </si>
  <si>
    <t>廖翊辰</t>
  </si>
  <si>
    <t>陈姝心</t>
  </si>
  <si>
    <t>邹雨馨</t>
  </si>
  <si>
    <t>叶祉彤</t>
  </si>
  <si>
    <t>安桐寓</t>
  </si>
  <si>
    <t>张俊彬</t>
  </si>
  <si>
    <t>陈佳乐</t>
  </si>
  <si>
    <t>赖雨欣</t>
  </si>
  <si>
    <t>石旻凯</t>
  </si>
  <si>
    <t>邹佳连</t>
  </si>
  <si>
    <t>廖晰菲</t>
  </si>
  <si>
    <t>刘伟超</t>
  </si>
  <si>
    <t>皮欣怡</t>
  </si>
  <si>
    <t>周桐雪</t>
  </si>
  <si>
    <t>叶欣盈</t>
  </si>
  <si>
    <t>张志豪</t>
  </si>
  <si>
    <t>石紫吟</t>
  </si>
  <si>
    <t>冷思琦</t>
  </si>
  <si>
    <t>付宇洋</t>
  </si>
  <si>
    <t>黄依依</t>
  </si>
  <si>
    <t>邓美玲</t>
  </si>
  <si>
    <t>黎佳蕙</t>
  </si>
  <si>
    <t>朱飞羽</t>
  </si>
  <si>
    <t>全美怡</t>
  </si>
  <si>
    <t>福岛美希</t>
  </si>
  <si>
    <t>吴雨菲</t>
  </si>
  <si>
    <t>杨欣潼</t>
  </si>
  <si>
    <t>郝欣磊</t>
  </si>
  <si>
    <t>邓欣雨</t>
  </si>
  <si>
    <t>赖晓琪</t>
  </si>
  <si>
    <t>苏炀炀</t>
  </si>
  <si>
    <t>吴子殷</t>
  </si>
  <si>
    <t>黄丽颖</t>
  </si>
  <si>
    <t>林婧羽</t>
  </si>
  <si>
    <t>李书涵</t>
  </si>
  <si>
    <t>陈子轩</t>
  </si>
  <si>
    <t>程睿凝</t>
  </si>
  <si>
    <t>李鑫妍</t>
  </si>
  <si>
    <t>张佳祺</t>
  </si>
  <si>
    <t>戴庆发</t>
  </si>
  <si>
    <t>刘紫妍</t>
  </si>
  <si>
    <t>李宇婷</t>
  </si>
  <si>
    <t>曾维轩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</si>
</sst>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b/>
      <sz val="10"/>
      <color indexed="8"/>
      <name val="宋体"/>
      <charset val="134"/>
    </font>
    <font>
      <b/>
      <sz val="10"/>
      <color rgb="FF000000"/>
      <name val="宋体"/>
      <charset val="134"/>
    </font>
    <font>
      <b/>
      <sz val="10"/>
      <color indexed="8"/>
      <name val="宋体"/>
      <charset val="134"/>
      <scheme val="minor"/>
    </font>
    <font>
      <sz val="10"/>
      <color indexed="8"/>
      <name val="宋体"/>
      <charset val="134"/>
    </font>
    <font>
      <sz val="11"/>
      <color indexed="8"/>
      <name val="宋体"/>
      <charset val="134"/>
      <scheme val="minor"/>
    </font>
    <font>
      <sz val="10"/>
      <color rgb="FF322EF2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8"/>
  <sheetViews>
    <sheetView tabSelected="1" workbookViewId="0">
      <selection activeCell="W238" sqref="W238"/>
    </sheetView>
  </sheetViews>
  <sheetFormatPr defaultColWidth="5" defaultRowHeight="13.5"/>
  <cols>
    <col min="1" max="1" width="13" style="12" customWidth="1"/>
    <col min="2" max="2" width="7" style="12" customWidth="1"/>
    <col min="3" max="3" width="11.125" style="12" customWidth="1"/>
    <col min="4" max="5" width="7" style="12" customWidth="1"/>
    <col min="6" max="6" width="9.75" style="12" customWidth="1"/>
    <col min="7" max="20" width="7" style="12" customWidth="1"/>
    <col min="21" max="21" width="6.25" style="2" customWidth="1"/>
    <col min="22" max="22" width="9.875" style="12" customWidth="1"/>
    <col min="23" max="23" width="9.125" style="12" customWidth="1"/>
    <col min="24" max="16383" width="5" style="12"/>
  </cols>
  <sheetData>
    <row r="1" s="12" customFormat="1" ht="22" customHeight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11</v>
      </c>
      <c r="N1" s="4" t="s">
        <v>3</v>
      </c>
      <c r="O1" s="4" t="s">
        <v>12</v>
      </c>
      <c r="P1" s="4" t="s">
        <v>3</v>
      </c>
      <c r="Q1" s="4" t="s">
        <v>13</v>
      </c>
      <c r="R1" s="4" t="s">
        <v>14</v>
      </c>
      <c r="S1" s="4" t="s">
        <v>3</v>
      </c>
      <c r="T1" s="4" t="s">
        <v>15</v>
      </c>
      <c r="U1" s="5" t="s">
        <v>16</v>
      </c>
      <c r="V1" s="6" t="s">
        <v>17</v>
      </c>
      <c r="W1" s="6" t="s">
        <v>18</v>
      </c>
    </row>
    <row r="2" s="12" customFormat="1" spans="1:23">
      <c r="A2" s="8" t="s">
        <v>19</v>
      </c>
      <c r="B2" s="8" t="s">
        <v>20</v>
      </c>
      <c r="C2" s="8">
        <v>519.25</v>
      </c>
      <c r="D2" s="8">
        <v>490.25</v>
      </c>
      <c r="E2" s="9">
        <f>RANK(C2,$C$2:$C$255)</f>
        <v>36</v>
      </c>
      <c r="F2" s="8">
        <v>320.25</v>
      </c>
      <c r="G2" s="8">
        <v>112</v>
      </c>
      <c r="H2" s="8">
        <v>77</v>
      </c>
      <c r="I2" s="8">
        <v>131.25</v>
      </c>
      <c r="J2" s="8">
        <v>37</v>
      </c>
      <c r="K2" s="8">
        <v>65</v>
      </c>
      <c r="L2" s="8">
        <v>43</v>
      </c>
      <c r="M2" s="8">
        <v>97</v>
      </c>
      <c r="N2" s="8">
        <v>90</v>
      </c>
      <c r="O2" s="8" t="s">
        <v>21</v>
      </c>
      <c r="P2" s="8" t="s">
        <v>21</v>
      </c>
      <c r="Q2" s="8" t="s">
        <v>21</v>
      </c>
      <c r="R2" s="8" t="s">
        <v>21</v>
      </c>
      <c r="S2" s="8" t="s">
        <v>21</v>
      </c>
      <c r="T2" s="8" t="s">
        <v>21</v>
      </c>
      <c r="U2" s="10">
        <v>496</v>
      </c>
      <c r="V2" s="9">
        <f>RANK(U2,$U$2:$U$255)</f>
        <v>208</v>
      </c>
      <c r="W2" s="9">
        <f>V2-E2</f>
        <v>172</v>
      </c>
    </row>
    <row r="3" s="12" customFormat="1" spans="1:23">
      <c r="A3" s="8" t="s">
        <v>22</v>
      </c>
      <c r="B3" s="8" t="s">
        <v>23</v>
      </c>
      <c r="C3" s="8">
        <v>545.32</v>
      </c>
      <c r="D3" s="8">
        <v>503.32</v>
      </c>
      <c r="E3" s="9">
        <f>RANK(C3,$C$2:$C$255)</f>
        <v>18</v>
      </c>
      <c r="F3" s="8">
        <v>303.32</v>
      </c>
      <c r="G3" s="8">
        <v>108.5</v>
      </c>
      <c r="H3" s="8">
        <v>97</v>
      </c>
      <c r="I3" s="8">
        <v>97.82</v>
      </c>
      <c r="J3" s="8">
        <v>64</v>
      </c>
      <c r="K3" s="8">
        <v>88</v>
      </c>
      <c r="L3" s="8">
        <v>77</v>
      </c>
      <c r="M3" s="8" t="s">
        <v>21</v>
      </c>
      <c r="N3" s="8" t="s">
        <v>21</v>
      </c>
      <c r="O3" s="8" t="s">
        <v>21</v>
      </c>
      <c r="P3" s="8" t="s">
        <v>21</v>
      </c>
      <c r="Q3" s="8" t="s">
        <v>21</v>
      </c>
      <c r="R3" s="8">
        <v>90</v>
      </c>
      <c r="S3" s="8">
        <v>59</v>
      </c>
      <c r="T3" s="8" t="s">
        <v>21</v>
      </c>
      <c r="U3" s="10">
        <v>509</v>
      </c>
      <c r="V3" s="9">
        <f>RANK(U3,$U$2:$U$255)</f>
        <v>173</v>
      </c>
      <c r="W3" s="9">
        <f>V3-E3</f>
        <v>155</v>
      </c>
    </row>
    <row r="4" s="12" customFormat="1" spans="1:23">
      <c r="A4" s="8" t="s">
        <v>24</v>
      </c>
      <c r="B4" s="8" t="s">
        <v>25</v>
      </c>
      <c r="C4" s="8">
        <v>476.38</v>
      </c>
      <c r="D4" s="8">
        <v>456.38</v>
      </c>
      <c r="E4" s="9">
        <f>RANK(C4,$C$2:$C$255)</f>
        <v>86</v>
      </c>
      <c r="F4" s="8">
        <v>261.38</v>
      </c>
      <c r="G4" s="8">
        <v>98.5</v>
      </c>
      <c r="H4" s="8">
        <v>86</v>
      </c>
      <c r="I4" s="8">
        <v>76.88</v>
      </c>
      <c r="J4" s="8">
        <v>60</v>
      </c>
      <c r="K4" s="8">
        <v>78</v>
      </c>
      <c r="L4" s="8">
        <v>62</v>
      </c>
      <c r="M4" s="8">
        <v>77</v>
      </c>
      <c r="N4" s="8">
        <v>73</v>
      </c>
      <c r="O4" s="8" t="s">
        <v>21</v>
      </c>
      <c r="P4" s="8" t="s">
        <v>21</v>
      </c>
      <c r="Q4" s="8" t="s">
        <v>21</v>
      </c>
      <c r="R4" s="8" t="s">
        <v>21</v>
      </c>
      <c r="S4" s="8" t="s">
        <v>21</v>
      </c>
      <c r="T4" s="8" t="s">
        <v>21</v>
      </c>
      <c r="U4" s="10">
        <v>485</v>
      </c>
      <c r="V4" s="9">
        <f>RANK(U4,$U$2:$U$255)</f>
        <v>228</v>
      </c>
      <c r="W4" s="9">
        <f>V4-E4</f>
        <v>142</v>
      </c>
    </row>
    <row r="5" s="12" customFormat="1" spans="1:23">
      <c r="A5" s="8" t="s">
        <v>26</v>
      </c>
      <c r="B5" s="8" t="s">
        <v>27</v>
      </c>
      <c r="C5" s="8">
        <v>623</v>
      </c>
      <c r="D5" s="8">
        <v>582</v>
      </c>
      <c r="E5" s="9">
        <f>RANK(C5,$C$2:$C$255)</f>
        <v>1</v>
      </c>
      <c r="F5" s="8">
        <v>353</v>
      </c>
      <c r="G5" s="8">
        <v>113.5</v>
      </c>
      <c r="H5" s="8">
        <v>113</v>
      </c>
      <c r="I5" s="8" t="s">
        <v>21</v>
      </c>
      <c r="J5" s="8">
        <v>70</v>
      </c>
      <c r="K5" s="8">
        <v>100</v>
      </c>
      <c r="L5" s="8">
        <v>92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>
        <v>100</v>
      </c>
      <c r="S5" s="8">
        <v>67</v>
      </c>
      <c r="T5" s="8">
        <v>126.5</v>
      </c>
      <c r="U5" s="10">
        <v>524</v>
      </c>
      <c r="V5" s="9">
        <f>RANK(U5,$U$2:$U$255)</f>
        <v>117</v>
      </c>
      <c r="W5" s="9">
        <f>V5-E5</f>
        <v>116</v>
      </c>
    </row>
    <row r="6" s="12" customFormat="1" spans="1:23">
      <c r="A6" s="8" t="s">
        <v>19</v>
      </c>
      <c r="B6" s="8" t="s">
        <v>28</v>
      </c>
      <c r="C6" s="8">
        <v>534.5</v>
      </c>
      <c r="D6" s="8">
        <v>519.5</v>
      </c>
      <c r="E6" s="9">
        <f>RANK(C6,$C$2:$C$255)</f>
        <v>30</v>
      </c>
      <c r="F6" s="8">
        <v>291.5</v>
      </c>
      <c r="G6" s="8">
        <v>104.5</v>
      </c>
      <c r="H6" s="8">
        <v>67</v>
      </c>
      <c r="I6" s="8">
        <v>120</v>
      </c>
      <c r="J6" s="8">
        <v>73</v>
      </c>
      <c r="K6" s="8">
        <v>91</v>
      </c>
      <c r="L6" s="8">
        <v>80</v>
      </c>
      <c r="M6" s="8">
        <v>79</v>
      </c>
      <c r="N6" s="8">
        <v>75</v>
      </c>
      <c r="O6" s="8" t="s">
        <v>21</v>
      </c>
      <c r="P6" s="8" t="s">
        <v>21</v>
      </c>
      <c r="Q6" s="8" t="s">
        <v>21</v>
      </c>
      <c r="R6" s="8" t="s">
        <v>21</v>
      </c>
      <c r="S6" s="8" t="s">
        <v>21</v>
      </c>
      <c r="T6" s="8" t="s">
        <v>21</v>
      </c>
      <c r="U6" s="10">
        <v>520</v>
      </c>
      <c r="V6" s="9">
        <f>RANK(U6,$U$2:$U$255)</f>
        <v>141</v>
      </c>
      <c r="W6" s="9">
        <f>V6-E6</f>
        <v>111</v>
      </c>
    </row>
    <row r="7" s="12" customFormat="1" spans="1:23">
      <c r="A7" s="8" t="s">
        <v>22</v>
      </c>
      <c r="B7" s="8" t="s">
        <v>29</v>
      </c>
      <c r="C7" s="8">
        <v>491.13</v>
      </c>
      <c r="D7" s="8">
        <v>447.13</v>
      </c>
      <c r="E7" s="9">
        <f>RANK(C7,$C$2:$C$255)</f>
        <v>68</v>
      </c>
      <c r="F7" s="8">
        <v>273.13</v>
      </c>
      <c r="G7" s="8">
        <v>110</v>
      </c>
      <c r="H7" s="8">
        <v>100</v>
      </c>
      <c r="I7" s="8">
        <v>63.13</v>
      </c>
      <c r="J7" s="8">
        <v>49</v>
      </c>
      <c r="K7" s="8">
        <v>81</v>
      </c>
      <c r="L7" s="8">
        <v>68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>
        <v>88</v>
      </c>
      <c r="S7" s="8">
        <v>57</v>
      </c>
      <c r="T7" s="8" t="s">
        <v>21</v>
      </c>
      <c r="U7" s="10">
        <v>509</v>
      </c>
      <c r="V7" s="9">
        <f>RANK(U7,$U$2:$U$255)</f>
        <v>173</v>
      </c>
      <c r="W7" s="9">
        <f>V7-E7</f>
        <v>105</v>
      </c>
    </row>
    <row r="8" s="12" customFormat="1" spans="1:23">
      <c r="A8" s="8" t="s">
        <v>22</v>
      </c>
      <c r="B8" s="8" t="s">
        <v>30</v>
      </c>
      <c r="C8" s="8">
        <v>548.13</v>
      </c>
      <c r="D8" s="8">
        <v>507.13</v>
      </c>
      <c r="E8" s="9">
        <f>RANK(C8,$C$2:$C$255)</f>
        <v>17</v>
      </c>
      <c r="F8" s="8">
        <v>314.13</v>
      </c>
      <c r="G8" s="8">
        <v>106.5</v>
      </c>
      <c r="H8" s="8">
        <v>107</v>
      </c>
      <c r="I8" s="8">
        <v>100.63</v>
      </c>
      <c r="J8" s="8">
        <v>71</v>
      </c>
      <c r="K8" s="8">
        <v>88</v>
      </c>
      <c r="L8" s="8">
        <v>77</v>
      </c>
      <c r="M8" s="8" t="s">
        <v>21</v>
      </c>
      <c r="N8" s="8" t="s">
        <v>21</v>
      </c>
      <c r="O8" s="8" t="s">
        <v>21</v>
      </c>
      <c r="P8" s="8" t="s">
        <v>21</v>
      </c>
      <c r="Q8" s="8" t="s">
        <v>21</v>
      </c>
      <c r="R8" s="8">
        <v>75</v>
      </c>
      <c r="S8" s="8">
        <v>45</v>
      </c>
      <c r="T8" s="8" t="s">
        <v>21</v>
      </c>
      <c r="U8" s="10">
        <v>524</v>
      </c>
      <c r="V8" s="9">
        <f>RANK(U8,$U$2:$U$255)</f>
        <v>117</v>
      </c>
      <c r="W8" s="9">
        <f>V8-E8</f>
        <v>100</v>
      </c>
    </row>
    <row r="9" s="12" customFormat="1" spans="1:23">
      <c r="A9" s="8" t="s">
        <v>26</v>
      </c>
      <c r="B9" s="8" t="s">
        <v>31</v>
      </c>
      <c r="C9" s="8">
        <v>466.75</v>
      </c>
      <c r="D9" s="8">
        <v>413.75</v>
      </c>
      <c r="E9" s="9">
        <f>RANK(C9,$C$2:$C$255)</f>
        <v>101</v>
      </c>
      <c r="F9" s="8">
        <v>276.75</v>
      </c>
      <c r="G9" s="8">
        <v>112</v>
      </c>
      <c r="H9" s="8">
        <v>56</v>
      </c>
      <c r="I9" s="8">
        <v>108.75</v>
      </c>
      <c r="J9" s="8">
        <v>53</v>
      </c>
      <c r="K9" s="8">
        <v>62</v>
      </c>
      <c r="L9" s="8">
        <v>39</v>
      </c>
      <c r="M9" s="8" t="s">
        <v>21</v>
      </c>
      <c r="N9" s="8" t="s">
        <v>21</v>
      </c>
      <c r="O9" s="8" t="s">
        <v>21</v>
      </c>
      <c r="P9" s="8" t="s">
        <v>21</v>
      </c>
      <c r="Q9" s="8" t="s">
        <v>21</v>
      </c>
      <c r="R9" s="8">
        <v>75</v>
      </c>
      <c r="S9" s="8">
        <v>45</v>
      </c>
      <c r="T9" s="8" t="s">
        <v>21</v>
      </c>
      <c r="U9" s="10">
        <v>500</v>
      </c>
      <c r="V9" s="9">
        <f>RANK(U9,$U$2:$U$255)</f>
        <v>201</v>
      </c>
      <c r="W9" s="9">
        <f>V9-E9</f>
        <v>100</v>
      </c>
    </row>
    <row r="10" s="12" customFormat="1" spans="1:23">
      <c r="A10" s="8" t="s">
        <v>24</v>
      </c>
      <c r="B10" s="8" t="s">
        <v>32</v>
      </c>
      <c r="C10" s="8">
        <v>463.13</v>
      </c>
      <c r="D10" s="8">
        <v>443.13</v>
      </c>
      <c r="E10" s="9">
        <f>RANK(C10,$C$2:$C$255)</f>
        <v>108</v>
      </c>
      <c r="F10" s="8">
        <v>262.13</v>
      </c>
      <c r="G10" s="8">
        <v>98.5</v>
      </c>
      <c r="H10" s="8">
        <v>98</v>
      </c>
      <c r="I10" s="8">
        <v>65.63</v>
      </c>
      <c r="J10" s="8">
        <v>54</v>
      </c>
      <c r="K10" s="8">
        <v>75</v>
      </c>
      <c r="L10" s="8">
        <v>57</v>
      </c>
      <c r="M10" s="8">
        <v>72</v>
      </c>
      <c r="N10" s="8">
        <v>70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  <c r="T10" s="8" t="s">
        <v>21</v>
      </c>
      <c r="U10" s="10">
        <v>497</v>
      </c>
      <c r="V10" s="9">
        <f>RANK(U10,$U$2:$U$255)</f>
        <v>206</v>
      </c>
      <c r="W10" s="9">
        <f>V10-E10</f>
        <v>98</v>
      </c>
    </row>
    <row r="11" s="12" customFormat="1" spans="1:23">
      <c r="A11" s="8" t="s">
        <v>19</v>
      </c>
      <c r="B11" s="8" t="s">
        <v>33</v>
      </c>
      <c r="C11" s="8">
        <v>505.07</v>
      </c>
      <c r="D11" s="8">
        <v>482.07</v>
      </c>
      <c r="E11" s="9">
        <f>RANK(C11,$C$2:$C$255)</f>
        <v>48</v>
      </c>
      <c r="F11" s="8">
        <v>310.07</v>
      </c>
      <c r="G11" s="8">
        <v>114</v>
      </c>
      <c r="H11" s="8">
        <v>97</v>
      </c>
      <c r="I11" s="8">
        <v>99.07</v>
      </c>
      <c r="J11" s="8">
        <v>39</v>
      </c>
      <c r="K11" s="8">
        <v>73</v>
      </c>
      <c r="L11" s="8">
        <v>55</v>
      </c>
      <c r="M11" s="8">
        <v>83</v>
      </c>
      <c r="N11" s="8">
        <v>78</v>
      </c>
      <c r="O11" s="8" t="s">
        <v>21</v>
      </c>
      <c r="P11" s="8" t="s">
        <v>21</v>
      </c>
      <c r="Q11" s="8" t="s">
        <v>21</v>
      </c>
      <c r="R11" s="8" t="s">
        <v>21</v>
      </c>
      <c r="S11" s="8" t="s">
        <v>21</v>
      </c>
      <c r="T11" s="8" t="s">
        <v>21</v>
      </c>
      <c r="U11" s="10">
        <v>520</v>
      </c>
      <c r="V11" s="9">
        <f>RANK(U11,$U$2:$U$255)</f>
        <v>141</v>
      </c>
      <c r="W11" s="9">
        <f>V11-E11</f>
        <v>93</v>
      </c>
    </row>
    <row r="12" s="12" customFormat="1" spans="1:23">
      <c r="A12" s="8" t="s">
        <v>19</v>
      </c>
      <c r="B12" s="8" t="s">
        <v>34</v>
      </c>
      <c r="C12" s="8">
        <v>509</v>
      </c>
      <c r="D12" s="8">
        <v>485</v>
      </c>
      <c r="E12" s="9">
        <f>RANK(C12,$C$2:$C$255)</f>
        <v>45</v>
      </c>
      <c r="F12" s="8">
        <v>308</v>
      </c>
      <c r="G12" s="8">
        <v>120</v>
      </c>
      <c r="H12" s="8">
        <v>78</v>
      </c>
      <c r="I12" s="8">
        <v>110</v>
      </c>
      <c r="J12" s="8">
        <v>51</v>
      </c>
      <c r="K12" s="8">
        <v>72</v>
      </c>
      <c r="L12" s="8">
        <v>52</v>
      </c>
      <c r="M12" s="8">
        <v>78</v>
      </c>
      <c r="N12" s="8">
        <v>74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10">
        <v>521</v>
      </c>
      <c r="V12" s="9">
        <f>RANK(U12,$U$2:$U$255)</f>
        <v>138</v>
      </c>
      <c r="W12" s="9">
        <f>V12-E12</f>
        <v>93</v>
      </c>
    </row>
    <row r="13" s="12" customFormat="1" spans="1:23">
      <c r="A13" s="8" t="s">
        <v>22</v>
      </c>
      <c r="B13" s="8" t="s">
        <v>35</v>
      </c>
      <c r="C13" s="8">
        <v>502.94</v>
      </c>
      <c r="D13" s="8">
        <v>452.94</v>
      </c>
      <c r="E13" s="9">
        <f>RANK(C13,$C$2:$C$255)</f>
        <v>51</v>
      </c>
      <c r="F13" s="8">
        <v>315.94</v>
      </c>
      <c r="G13" s="8">
        <v>127</v>
      </c>
      <c r="H13" s="8">
        <v>88</v>
      </c>
      <c r="I13" s="8">
        <v>100.94</v>
      </c>
      <c r="J13" s="8">
        <v>47</v>
      </c>
      <c r="K13" s="8">
        <v>70</v>
      </c>
      <c r="L13" s="8">
        <v>50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>
        <v>70</v>
      </c>
      <c r="S13" s="8">
        <v>40</v>
      </c>
      <c r="T13" s="8" t="s">
        <v>21</v>
      </c>
      <c r="U13" s="10">
        <v>519</v>
      </c>
      <c r="V13" s="9">
        <f>RANK(U13,$U$2:$U$255)</f>
        <v>143</v>
      </c>
      <c r="W13" s="9">
        <f>V13-E13</f>
        <v>92</v>
      </c>
    </row>
    <row r="14" s="12" customFormat="1" spans="1:23">
      <c r="A14" s="8" t="s">
        <v>19</v>
      </c>
      <c r="B14" s="8" t="s">
        <v>36</v>
      </c>
      <c r="C14" s="8">
        <v>544.5</v>
      </c>
      <c r="D14" s="8">
        <v>529.5</v>
      </c>
      <c r="E14" s="9">
        <f>RANK(C14,$C$2:$C$255)</f>
        <v>19</v>
      </c>
      <c r="F14" s="8">
        <v>287.5</v>
      </c>
      <c r="G14" s="8">
        <v>111.5</v>
      </c>
      <c r="H14" s="8">
        <v>121</v>
      </c>
      <c r="I14" s="8">
        <v>55</v>
      </c>
      <c r="J14" s="8">
        <v>81</v>
      </c>
      <c r="K14" s="8">
        <v>95</v>
      </c>
      <c r="L14" s="8">
        <v>85</v>
      </c>
      <c r="M14" s="8">
        <v>81</v>
      </c>
      <c r="N14" s="8">
        <v>76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10">
        <v>525</v>
      </c>
      <c r="V14" s="9">
        <f>RANK(U14,$U$2:$U$255)</f>
        <v>109</v>
      </c>
      <c r="W14" s="9">
        <f>V14-E14</f>
        <v>90</v>
      </c>
    </row>
    <row r="15" s="12" customFormat="1" spans="1:23">
      <c r="A15" s="8" t="s">
        <v>37</v>
      </c>
      <c r="B15" s="8" t="s">
        <v>38</v>
      </c>
      <c r="C15" s="8">
        <v>536.13</v>
      </c>
      <c r="D15" s="8">
        <v>516.13</v>
      </c>
      <c r="E15" s="9">
        <f>RANK(C15,$C$2:$C$255)</f>
        <v>27</v>
      </c>
      <c r="F15" s="8">
        <v>294.13</v>
      </c>
      <c r="G15" s="8">
        <v>118</v>
      </c>
      <c r="H15" s="8">
        <v>73</v>
      </c>
      <c r="I15" s="8">
        <v>103.13</v>
      </c>
      <c r="J15" s="8">
        <v>69</v>
      </c>
      <c r="K15" s="8">
        <v>80</v>
      </c>
      <c r="L15" s="8">
        <v>65</v>
      </c>
      <c r="M15" s="8" t="s">
        <v>21</v>
      </c>
      <c r="N15" s="8" t="s">
        <v>21</v>
      </c>
      <c r="O15" s="8">
        <v>93</v>
      </c>
      <c r="P15" s="8">
        <v>88</v>
      </c>
      <c r="Q15" s="8" t="s">
        <v>21</v>
      </c>
      <c r="R15" s="8" t="s">
        <v>21</v>
      </c>
      <c r="S15" s="8" t="s">
        <v>21</v>
      </c>
      <c r="T15" s="8" t="s">
        <v>21</v>
      </c>
      <c r="U15" s="10">
        <v>524</v>
      </c>
      <c r="V15" s="9">
        <f>RANK(U15,$U$2:$U$255)</f>
        <v>117</v>
      </c>
      <c r="W15" s="9">
        <f>V15-E15</f>
        <v>90</v>
      </c>
    </row>
    <row r="16" s="12" customFormat="1" spans="1:23">
      <c r="A16" s="8" t="s">
        <v>22</v>
      </c>
      <c r="B16" s="8" t="s">
        <v>39</v>
      </c>
      <c r="C16" s="8">
        <v>543.25</v>
      </c>
      <c r="D16" s="8">
        <v>500.25</v>
      </c>
      <c r="E16" s="9">
        <f>RANK(C16,$C$2:$C$255)</f>
        <v>20</v>
      </c>
      <c r="F16" s="8">
        <v>333.25</v>
      </c>
      <c r="G16" s="8">
        <v>112.5</v>
      </c>
      <c r="H16" s="8">
        <v>87</v>
      </c>
      <c r="I16" s="8">
        <v>133.75</v>
      </c>
      <c r="J16" s="8">
        <v>55</v>
      </c>
      <c r="K16" s="8">
        <v>85</v>
      </c>
      <c r="L16" s="8">
        <v>72</v>
      </c>
      <c r="M16" s="8" t="s">
        <v>21</v>
      </c>
      <c r="N16" s="8" t="s">
        <v>21</v>
      </c>
      <c r="O16" s="8" t="s">
        <v>21</v>
      </c>
      <c r="P16" s="8" t="s">
        <v>21</v>
      </c>
      <c r="Q16" s="8" t="s">
        <v>21</v>
      </c>
      <c r="R16" s="8">
        <v>70</v>
      </c>
      <c r="S16" s="8">
        <v>40</v>
      </c>
      <c r="T16" s="8" t="s">
        <v>21</v>
      </c>
      <c r="U16" s="10">
        <v>525</v>
      </c>
      <c r="V16" s="9">
        <f>RANK(U16,$U$2:$U$255)</f>
        <v>109</v>
      </c>
      <c r="W16" s="9">
        <f>V16-E16</f>
        <v>89</v>
      </c>
    </row>
    <row r="17" s="12" customFormat="1" spans="1:23">
      <c r="A17" s="8" t="s">
        <v>22</v>
      </c>
      <c r="B17" s="8" t="s">
        <v>40</v>
      </c>
      <c r="C17" s="8">
        <v>507.13</v>
      </c>
      <c r="D17" s="8">
        <v>463.13</v>
      </c>
      <c r="E17" s="9">
        <f>RANK(C17,$C$2:$C$255)</f>
        <v>47</v>
      </c>
      <c r="F17" s="8">
        <v>290.13</v>
      </c>
      <c r="G17" s="8">
        <v>109.5</v>
      </c>
      <c r="H17" s="8">
        <v>85</v>
      </c>
      <c r="I17" s="8">
        <v>95.63</v>
      </c>
      <c r="J17" s="8">
        <v>58</v>
      </c>
      <c r="K17" s="8">
        <v>80</v>
      </c>
      <c r="L17" s="8">
        <v>66</v>
      </c>
      <c r="M17" s="8" t="s">
        <v>21</v>
      </c>
      <c r="N17" s="8" t="s">
        <v>21</v>
      </c>
      <c r="O17" s="8" t="s">
        <v>21</v>
      </c>
      <c r="P17" s="8" t="s">
        <v>21</v>
      </c>
      <c r="Q17" s="8" t="s">
        <v>21</v>
      </c>
      <c r="R17" s="8">
        <v>79</v>
      </c>
      <c r="S17" s="8">
        <v>49</v>
      </c>
      <c r="T17" s="8" t="s">
        <v>21</v>
      </c>
      <c r="U17" s="10">
        <v>523</v>
      </c>
      <c r="V17" s="9">
        <f>RANK(U17,$U$2:$U$255)</f>
        <v>130</v>
      </c>
      <c r="W17" s="9">
        <f>V17-E17</f>
        <v>83</v>
      </c>
    </row>
    <row r="18" s="12" customFormat="1" spans="1:23">
      <c r="A18" s="8" t="s">
        <v>22</v>
      </c>
      <c r="B18" s="8" t="s">
        <v>41</v>
      </c>
      <c r="C18" s="8">
        <v>494.75</v>
      </c>
      <c r="D18" s="8">
        <v>446.75</v>
      </c>
      <c r="E18" s="9">
        <f>RANK(C18,$C$2:$C$255)</f>
        <v>63</v>
      </c>
      <c r="F18" s="8">
        <v>300.75</v>
      </c>
      <c r="G18" s="8">
        <v>96</v>
      </c>
      <c r="H18" s="8">
        <v>106</v>
      </c>
      <c r="I18" s="8">
        <v>98.75</v>
      </c>
      <c r="J18" s="8">
        <v>46</v>
      </c>
      <c r="K18" s="8">
        <v>74</v>
      </c>
      <c r="L18" s="8">
        <v>56</v>
      </c>
      <c r="M18" s="8" t="s">
        <v>21</v>
      </c>
      <c r="N18" s="8" t="s">
        <v>21</v>
      </c>
      <c r="O18" s="8" t="s">
        <v>21</v>
      </c>
      <c r="P18" s="8" t="s">
        <v>21</v>
      </c>
      <c r="Q18" s="8" t="s">
        <v>21</v>
      </c>
      <c r="R18" s="8">
        <v>74</v>
      </c>
      <c r="S18" s="8">
        <v>44</v>
      </c>
      <c r="T18" s="8" t="s">
        <v>21</v>
      </c>
      <c r="U18" s="10">
        <v>516</v>
      </c>
      <c r="V18" s="9">
        <f>RANK(U18,$U$2:$U$255)</f>
        <v>146</v>
      </c>
      <c r="W18" s="9">
        <f>V18-E18</f>
        <v>83</v>
      </c>
    </row>
    <row r="19" s="12" customFormat="1" spans="1:23">
      <c r="A19" s="8" t="s">
        <v>37</v>
      </c>
      <c r="B19" s="8" t="s">
        <v>42</v>
      </c>
      <c r="C19" s="8">
        <v>466.69</v>
      </c>
      <c r="D19" s="8">
        <v>446.69</v>
      </c>
      <c r="E19" s="9">
        <f>RANK(C19,$C$2:$C$255)</f>
        <v>102</v>
      </c>
      <c r="F19" s="8">
        <v>277.69</v>
      </c>
      <c r="G19" s="8">
        <v>110</v>
      </c>
      <c r="H19" s="8">
        <v>83</v>
      </c>
      <c r="I19" s="8">
        <v>84.69</v>
      </c>
      <c r="J19" s="8">
        <v>46</v>
      </c>
      <c r="K19" s="8">
        <v>69</v>
      </c>
      <c r="L19" s="8">
        <v>48</v>
      </c>
      <c r="M19" s="8" t="s">
        <v>21</v>
      </c>
      <c r="N19" s="8" t="s">
        <v>21</v>
      </c>
      <c r="O19" s="8">
        <v>74</v>
      </c>
      <c r="P19" s="8">
        <v>75</v>
      </c>
      <c r="Q19" s="8" t="s">
        <v>21</v>
      </c>
      <c r="R19" s="8" t="s">
        <v>21</v>
      </c>
      <c r="S19" s="8" t="s">
        <v>21</v>
      </c>
      <c r="T19" s="8" t="s">
        <v>21</v>
      </c>
      <c r="U19" s="10">
        <v>506</v>
      </c>
      <c r="V19" s="9">
        <f>RANK(U19,$U$2:$U$255)</f>
        <v>184</v>
      </c>
      <c r="W19" s="9">
        <f>V19-E19</f>
        <v>82</v>
      </c>
    </row>
    <row r="20" s="12" customFormat="1" spans="1:23">
      <c r="A20" s="8" t="s">
        <v>22</v>
      </c>
      <c r="B20" s="8" t="s">
        <v>43</v>
      </c>
      <c r="C20" s="8">
        <v>461.75</v>
      </c>
      <c r="D20" s="8">
        <v>419.75</v>
      </c>
      <c r="E20" s="9">
        <f>RANK(C20,$C$2:$C$255)</f>
        <v>112</v>
      </c>
      <c r="F20" s="8">
        <v>280.75</v>
      </c>
      <c r="G20" s="8">
        <v>109.5</v>
      </c>
      <c r="H20" s="8">
        <v>70</v>
      </c>
      <c r="I20" s="8">
        <v>101.25</v>
      </c>
      <c r="J20" s="8">
        <v>61</v>
      </c>
      <c r="K20" s="8">
        <v>70</v>
      </c>
      <c r="L20" s="8">
        <v>50</v>
      </c>
      <c r="M20" s="8" t="s">
        <v>21</v>
      </c>
      <c r="N20" s="8" t="s">
        <v>21</v>
      </c>
      <c r="O20" s="8" t="s">
        <v>21</v>
      </c>
      <c r="P20" s="8" t="s">
        <v>21</v>
      </c>
      <c r="Q20" s="8" t="s">
        <v>21</v>
      </c>
      <c r="R20" s="8">
        <v>50</v>
      </c>
      <c r="S20" s="8">
        <v>28</v>
      </c>
      <c r="T20" s="8" t="s">
        <v>21</v>
      </c>
      <c r="U20" s="10">
        <v>504</v>
      </c>
      <c r="V20" s="9">
        <f>RANK(U20,$U$2:$U$255)</f>
        <v>193</v>
      </c>
      <c r="W20" s="9">
        <f>V20-E20</f>
        <v>81</v>
      </c>
    </row>
    <row r="21" s="12" customFormat="1" spans="1:23">
      <c r="A21" s="8" t="s">
        <v>26</v>
      </c>
      <c r="B21" s="8" t="s">
        <v>44</v>
      </c>
      <c r="C21" s="8">
        <v>443.82</v>
      </c>
      <c r="D21" s="8">
        <v>400.82</v>
      </c>
      <c r="E21" s="9">
        <f>RANK(C21,$C$2:$C$255)</f>
        <v>145</v>
      </c>
      <c r="F21" s="8">
        <v>269.82</v>
      </c>
      <c r="G21" s="8">
        <v>92</v>
      </c>
      <c r="H21" s="8">
        <v>70</v>
      </c>
      <c r="I21" s="8">
        <v>107.82</v>
      </c>
      <c r="J21" s="8">
        <v>41</v>
      </c>
      <c r="K21" s="8">
        <v>74</v>
      </c>
      <c r="L21" s="8">
        <v>56</v>
      </c>
      <c r="M21" s="8" t="s">
        <v>21</v>
      </c>
      <c r="N21" s="8" t="s">
        <v>21</v>
      </c>
      <c r="O21" s="8" t="s">
        <v>21</v>
      </c>
      <c r="P21" s="8" t="s">
        <v>21</v>
      </c>
      <c r="Q21" s="8" t="s">
        <v>21</v>
      </c>
      <c r="R21" s="8">
        <v>59</v>
      </c>
      <c r="S21" s="8">
        <v>34</v>
      </c>
      <c r="T21" s="8" t="s">
        <v>21</v>
      </c>
      <c r="U21" s="10">
        <v>488</v>
      </c>
      <c r="V21" s="9">
        <f>RANK(U21,$U$2:$U$255)</f>
        <v>223</v>
      </c>
      <c r="W21" s="9">
        <f>V21-E21</f>
        <v>78</v>
      </c>
    </row>
    <row r="22" s="12" customFormat="1" spans="1:23">
      <c r="A22" s="8" t="s">
        <v>22</v>
      </c>
      <c r="B22" s="8" t="s">
        <v>45</v>
      </c>
      <c r="C22" s="8">
        <v>565.07</v>
      </c>
      <c r="D22" s="8">
        <v>524.07</v>
      </c>
      <c r="E22" s="9">
        <f>RANK(C22,$C$2:$C$255)</f>
        <v>9</v>
      </c>
      <c r="F22" s="8">
        <v>338.07</v>
      </c>
      <c r="G22" s="8">
        <v>114</v>
      </c>
      <c r="H22" s="8">
        <v>115</v>
      </c>
      <c r="I22" s="8">
        <v>109.07</v>
      </c>
      <c r="J22" s="8">
        <v>65</v>
      </c>
      <c r="K22" s="8">
        <v>92</v>
      </c>
      <c r="L22" s="8">
        <v>81</v>
      </c>
      <c r="M22" s="8" t="s">
        <v>21</v>
      </c>
      <c r="N22" s="8" t="s">
        <v>21</v>
      </c>
      <c r="O22" s="8" t="s">
        <v>21</v>
      </c>
      <c r="P22" s="8" t="s">
        <v>21</v>
      </c>
      <c r="Q22" s="8" t="s">
        <v>21</v>
      </c>
      <c r="R22" s="8">
        <v>70</v>
      </c>
      <c r="S22" s="8">
        <v>40</v>
      </c>
      <c r="T22" s="8" t="s">
        <v>21</v>
      </c>
      <c r="U22" s="10">
        <v>527</v>
      </c>
      <c r="V22" s="9">
        <f>RANK(U22,$U$2:$U$255)</f>
        <v>85</v>
      </c>
      <c r="W22" s="9">
        <f>V22-E22</f>
        <v>76</v>
      </c>
    </row>
    <row r="23" s="12" customFormat="1" spans="1:23">
      <c r="A23" s="8" t="s">
        <v>22</v>
      </c>
      <c r="B23" s="8" t="s">
        <v>46</v>
      </c>
      <c r="C23" s="8">
        <v>478.19</v>
      </c>
      <c r="D23" s="8">
        <v>439.19</v>
      </c>
      <c r="E23" s="9">
        <f>RANK(C23,$C$2:$C$255)</f>
        <v>82</v>
      </c>
      <c r="F23" s="8">
        <v>281.19</v>
      </c>
      <c r="G23" s="8">
        <v>108</v>
      </c>
      <c r="H23" s="8">
        <v>76</v>
      </c>
      <c r="I23" s="8">
        <v>97.19</v>
      </c>
      <c r="J23" s="8">
        <v>42</v>
      </c>
      <c r="K23" s="8">
        <v>89</v>
      </c>
      <c r="L23" s="8">
        <v>78</v>
      </c>
      <c r="M23" s="8" t="s">
        <v>21</v>
      </c>
      <c r="N23" s="8" t="s">
        <v>21</v>
      </c>
      <c r="O23" s="8" t="s">
        <v>21</v>
      </c>
      <c r="P23" s="8" t="s">
        <v>21</v>
      </c>
      <c r="Q23" s="8" t="s">
        <v>21</v>
      </c>
      <c r="R23" s="8">
        <v>66</v>
      </c>
      <c r="S23" s="8">
        <v>38</v>
      </c>
      <c r="T23" s="8" t="s">
        <v>21</v>
      </c>
      <c r="U23" s="10">
        <v>512</v>
      </c>
      <c r="V23" s="9">
        <f>RANK(U23,$U$2:$U$255)</f>
        <v>157</v>
      </c>
      <c r="W23" s="9">
        <f>V23-E23</f>
        <v>75</v>
      </c>
    </row>
    <row r="24" s="12" customFormat="1" spans="1:23">
      <c r="A24" s="8" t="s">
        <v>19</v>
      </c>
      <c r="B24" s="8" t="s">
        <v>47</v>
      </c>
      <c r="C24" s="8">
        <v>513.13</v>
      </c>
      <c r="D24" s="8">
        <v>491.13</v>
      </c>
      <c r="E24" s="9">
        <f>RANK(C24,$C$2:$C$255)</f>
        <v>42</v>
      </c>
      <c r="F24" s="8">
        <v>289.13</v>
      </c>
      <c r="G24" s="8">
        <v>102.5</v>
      </c>
      <c r="H24" s="8">
        <v>81</v>
      </c>
      <c r="I24" s="8">
        <v>105.63</v>
      </c>
      <c r="J24" s="8">
        <v>58</v>
      </c>
      <c r="K24" s="8">
        <v>78</v>
      </c>
      <c r="L24" s="8">
        <v>62</v>
      </c>
      <c r="M24" s="8">
        <v>88</v>
      </c>
      <c r="N24" s="8">
        <v>82</v>
      </c>
      <c r="O24" s="8" t="s">
        <v>21</v>
      </c>
      <c r="P24" s="8" t="s">
        <v>21</v>
      </c>
      <c r="Q24" s="8" t="s">
        <v>21</v>
      </c>
      <c r="R24" s="8" t="s">
        <v>21</v>
      </c>
      <c r="S24" s="8" t="s">
        <v>21</v>
      </c>
      <c r="T24" s="8" t="s">
        <v>21</v>
      </c>
      <c r="U24" s="10">
        <v>524</v>
      </c>
      <c r="V24" s="9">
        <f>RANK(U24,$U$2:$U$255)</f>
        <v>117</v>
      </c>
      <c r="W24" s="9">
        <f>V24-E24</f>
        <v>75</v>
      </c>
    </row>
    <row r="25" s="12" customFormat="1" spans="1:23">
      <c r="A25" s="8" t="s">
        <v>24</v>
      </c>
      <c r="B25" s="8" t="s">
        <v>48</v>
      </c>
      <c r="C25" s="8">
        <v>457.5</v>
      </c>
      <c r="D25" s="8">
        <v>434.5</v>
      </c>
      <c r="E25" s="9">
        <f>RANK(C25,$C$2:$C$255)</f>
        <v>122</v>
      </c>
      <c r="F25" s="8">
        <v>287.5</v>
      </c>
      <c r="G25" s="8">
        <v>111</v>
      </c>
      <c r="H25" s="8">
        <v>51</v>
      </c>
      <c r="I25" s="8" t="s">
        <v>21</v>
      </c>
      <c r="J25" s="8">
        <v>31</v>
      </c>
      <c r="K25" s="8">
        <v>53</v>
      </c>
      <c r="L25" s="8">
        <v>30</v>
      </c>
      <c r="M25" s="8" t="s">
        <v>21</v>
      </c>
      <c r="N25" s="8" t="s">
        <v>21</v>
      </c>
      <c r="O25" s="8">
        <v>86</v>
      </c>
      <c r="P25" s="8">
        <v>86</v>
      </c>
      <c r="Q25" s="8" t="s">
        <v>21</v>
      </c>
      <c r="R25" s="8" t="s">
        <v>21</v>
      </c>
      <c r="S25" s="8" t="s">
        <v>21</v>
      </c>
      <c r="T25" s="8">
        <v>125.5</v>
      </c>
      <c r="U25" s="10">
        <v>503</v>
      </c>
      <c r="V25" s="9">
        <f>RANK(U25,$U$2:$U$255)</f>
        <v>196</v>
      </c>
      <c r="W25" s="9">
        <f>V25-E25</f>
        <v>74</v>
      </c>
    </row>
    <row r="26" s="12" customFormat="1" spans="1:23">
      <c r="A26" s="8" t="s">
        <v>24</v>
      </c>
      <c r="B26" s="8" t="s">
        <v>49</v>
      </c>
      <c r="C26" s="8">
        <v>471.75</v>
      </c>
      <c r="D26" s="8">
        <v>452.75</v>
      </c>
      <c r="E26" s="9">
        <f>RANK(C26,$C$2:$C$255)</f>
        <v>94</v>
      </c>
      <c r="F26" s="8">
        <v>260.75</v>
      </c>
      <c r="G26" s="8">
        <v>101</v>
      </c>
      <c r="H26" s="8">
        <v>91</v>
      </c>
      <c r="I26" s="8">
        <v>68.75</v>
      </c>
      <c r="J26" s="8">
        <v>59</v>
      </c>
      <c r="K26" s="8">
        <v>77</v>
      </c>
      <c r="L26" s="8">
        <v>61</v>
      </c>
      <c r="M26" s="8">
        <v>75</v>
      </c>
      <c r="N26" s="8">
        <v>72</v>
      </c>
      <c r="O26" s="8" t="s">
        <v>21</v>
      </c>
      <c r="P26" s="8" t="s">
        <v>21</v>
      </c>
      <c r="Q26" s="8" t="s">
        <v>21</v>
      </c>
      <c r="R26" s="8" t="s">
        <v>21</v>
      </c>
      <c r="S26" s="8" t="s">
        <v>21</v>
      </c>
      <c r="T26" s="8" t="s">
        <v>21</v>
      </c>
      <c r="U26" s="10">
        <v>510</v>
      </c>
      <c r="V26" s="9">
        <f>RANK(U26,$U$2:$U$255)</f>
        <v>167</v>
      </c>
      <c r="W26" s="9">
        <f>V26-E26</f>
        <v>73</v>
      </c>
    </row>
    <row r="27" s="12" customFormat="1" spans="1:23">
      <c r="A27" s="8" t="s">
        <v>37</v>
      </c>
      <c r="B27" s="8" t="s">
        <v>50</v>
      </c>
      <c r="C27" s="8">
        <v>497.75</v>
      </c>
      <c r="D27" s="8">
        <v>480.75</v>
      </c>
      <c r="E27" s="9">
        <f>RANK(C27,$C$2:$C$255)</f>
        <v>57</v>
      </c>
      <c r="F27" s="8">
        <v>293.75</v>
      </c>
      <c r="G27" s="8">
        <v>116.5</v>
      </c>
      <c r="H27" s="8">
        <v>71</v>
      </c>
      <c r="I27" s="8">
        <v>106.25</v>
      </c>
      <c r="J27" s="8">
        <v>53</v>
      </c>
      <c r="K27" s="8">
        <v>75</v>
      </c>
      <c r="L27" s="8">
        <v>57</v>
      </c>
      <c r="M27" s="8" t="s">
        <v>21</v>
      </c>
      <c r="N27" s="8" t="s">
        <v>21</v>
      </c>
      <c r="O27" s="8">
        <v>76</v>
      </c>
      <c r="P27" s="8">
        <v>77</v>
      </c>
      <c r="Q27" s="8" t="s">
        <v>21</v>
      </c>
      <c r="R27" s="8" t="s">
        <v>21</v>
      </c>
      <c r="S27" s="8" t="s">
        <v>21</v>
      </c>
      <c r="T27" s="8" t="s">
        <v>21</v>
      </c>
      <c r="U27" s="10">
        <v>523</v>
      </c>
      <c r="V27" s="9">
        <f>RANK(U27,$U$2:$U$255)</f>
        <v>130</v>
      </c>
      <c r="W27" s="9">
        <f>V27-E27</f>
        <v>73</v>
      </c>
    </row>
    <row r="28" s="12" customFormat="1" spans="1:23">
      <c r="A28" s="8" t="s">
        <v>22</v>
      </c>
      <c r="B28" s="8" t="s">
        <v>51</v>
      </c>
      <c r="C28" s="8">
        <v>554</v>
      </c>
      <c r="D28" s="8">
        <v>512</v>
      </c>
      <c r="E28" s="9">
        <f>RANK(C28,$C$2:$C$255)</f>
        <v>13</v>
      </c>
      <c r="F28" s="8">
        <v>314</v>
      </c>
      <c r="G28" s="8">
        <v>110</v>
      </c>
      <c r="H28" s="8">
        <v>109</v>
      </c>
      <c r="I28" s="8">
        <v>95</v>
      </c>
      <c r="J28" s="8">
        <v>73</v>
      </c>
      <c r="K28" s="8">
        <v>85</v>
      </c>
      <c r="L28" s="8">
        <v>73</v>
      </c>
      <c r="M28" s="8" t="s">
        <v>21</v>
      </c>
      <c r="N28" s="8" t="s">
        <v>21</v>
      </c>
      <c r="O28" s="8" t="s">
        <v>21</v>
      </c>
      <c r="P28" s="8" t="s">
        <v>21</v>
      </c>
      <c r="Q28" s="8" t="s">
        <v>21</v>
      </c>
      <c r="R28" s="8">
        <v>82</v>
      </c>
      <c r="S28" s="8">
        <v>52</v>
      </c>
      <c r="T28" s="8" t="s">
        <v>21</v>
      </c>
      <c r="U28" s="10">
        <v>527</v>
      </c>
      <c r="V28" s="9">
        <f>RANK(U28,$U$2:$U$255)</f>
        <v>85</v>
      </c>
      <c r="W28" s="9">
        <f>V28-E28</f>
        <v>72</v>
      </c>
    </row>
    <row r="29" s="12" customFormat="1" spans="1:23">
      <c r="A29" s="8" t="s">
        <v>24</v>
      </c>
      <c r="B29" s="8" t="s">
        <v>52</v>
      </c>
      <c r="C29" s="8">
        <v>473.88</v>
      </c>
      <c r="D29" s="8">
        <v>449.88</v>
      </c>
      <c r="E29" s="9">
        <f>RANK(C29,$C$2:$C$255)</f>
        <v>90</v>
      </c>
      <c r="F29" s="8">
        <v>296.88</v>
      </c>
      <c r="G29" s="8">
        <v>112.5</v>
      </c>
      <c r="H29" s="8">
        <v>85</v>
      </c>
      <c r="I29" s="8">
        <v>99.38</v>
      </c>
      <c r="J29" s="8">
        <v>35</v>
      </c>
      <c r="K29" s="8">
        <v>68</v>
      </c>
      <c r="L29" s="8">
        <v>47</v>
      </c>
      <c r="M29" s="8">
        <v>74</v>
      </c>
      <c r="N29" s="8">
        <v>71</v>
      </c>
      <c r="O29" s="8" t="s">
        <v>21</v>
      </c>
      <c r="P29" s="8" t="s">
        <v>21</v>
      </c>
      <c r="Q29" s="8" t="s">
        <v>21</v>
      </c>
      <c r="R29" s="8" t="s">
        <v>21</v>
      </c>
      <c r="S29" s="8" t="s">
        <v>21</v>
      </c>
      <c r="T29" s="8" t="s">
        <v>21</v>
      </c>
      <c r="U29" s="10">
        <v>511</v>
      </c>
      <c r="V29" s="9">
        <f>RANK(U29,$U$2:$U$255)</f>
        <v>162</v>
      </c>
      <c r="W29" s="9">
        <f>V29-E29</f>
        <v>72</v>
      </c>
    </row>
    <row r="30" s="12" customFormat="1" spans="1:23">
      <c r="A30" s="8" t="s">
        <v>24</v>
      </c>
      <c r="B30" s="8" t="s">
        <v>53</v>
      </c>
      <c r="C30" s="8">
        <v>452.63</v>
      </c>
      <c r="D30" s="8">
        <v>430.63</v>
      </c>
      <c r="E30" s="9">
        <f>RANK(C30,$C$2:$C$255)</f>
        <v>130</v>
      </c>
      <c r="F30" s="8">
        <v>282.63</v>
      </c>
      <c r="G30" s="8">
        <v>108</v>
      </c>
      <c r="H30" s="8">
        <v>84</v>
      </c>
      <c r="I30" s="8">
        <v>90.63</v>
      </c>
      <c r="J30" s="8">
        <v>44</v>
      </c>
      <c r="K30" s="8">
        <v>63</v>
      </c>
      <c r="L30" s="8">
        <v>41</v>
      </c>
      <c r="M30" s="8">
        <v>63</v>
      </c>
      <c r="N30" s="8">
        <v>63</v>
      </c>
      <c r="O30" s="8" t="s">
        <v>21</v>
      </c>
      <c r="P30" s="8" t="s">
        <v>21</v>
      </c>
      <c r="Q30" s="8" t="s">
        <v>21</v>
      </c>
      <c r="R30" s="8" t="s">
        <v>21</v>
      </c>
      <c r="S30" s="8" t="s">
        <v>21</v>
      </c>
      <c r="T30" s="8" t="s">
        <v>21</v>
      </c>
      <c r="U30" s="10">
        <v>499</v>
      </c>
      <c r="V30" s="9">
        <f>RANK(U30,$U$2:$U$255)</f>
        <v>202</v>
      </c>
      <c r="W30" s="9">
        <f>V30-E30</f>
        <v>72</v>
      </c>
    </row>
    <row r="31" s="12" customFormat="1" spans="1:23">
      <c r="A31" s="8" t="s">
        <v>37</v>
      </c>
      <c r="B31" s="8" t="s">
        <v>54</v>
      </c>
      <c r="C31" s="8">
        <v>442</v>
      </c>
      <c r="D31" s="8">
        <v>419</v>
      </c>
      <c r="E31" s="9">
        <f>RANK(C31,$C$2:$C$255)</f>
        <v>148</v>
      </c>
      <c r="F31" s="8">
        <v>284</v>
      </c>
      <c r="G31" s="8">
        <v>112</v>
      </c>
      <c r="H31" s="8">
        <v>92</v>
      </c>
      <c r="I31" s="8">
        <v>80</v>
      </c>
      <c r="J31" s="8">
        <v>35</v>
      </c>
      <c r="K31" s="8">
        <v>57</v>
      </c>
      <c r="L31" s="8">
        <v>33</v>
      </c>
      <c r="M31" s="8" t="s">
        <v>21</v>
      </c>
      <c r="N31" s="8" t="s">
        <v>21</v>
      </c>
      <c r="O31" s="8">
        <v>66</v>
      </c>
      <c r="P31" s="8">
        <v>67</v>
      </c>
      <c r="Q31" s="8" t="s">
        <v>21</v>
      </c>
      <c r="R31" s="8" t="s">
        <v>21</v>
      </c>
      <c r="S31" s="8" t="s">
        <v>21</v>
      </c>
      <c r="T31" s="8" t="s">
        <v>21</v>
      </c>
      <c r="U31" s="10">
        <v>490</v>
      </c>
      <c r="V31" s="9">
        <f>RANK(U31,$U$2:$U$255)</f>
        <v>220</v>
      </c>
      <c r="W31" s="9">
        <f>V31-E31</f>
        <v>72</v>
      </c>
    </row>
    <row r="32" s="12" customFormat="1" spans="1:23">
      <c r="A32" s="8" t="s">
        <v>22</v>
      </c>
      <c r="B32" s="8" t="s">
        <v>55</v>
      </c>
      <c r="C32" s="8">
        <v>446.94</v>
      </c>
      <c r="D32" s="8">
        <v>399.94</v>
      </c>
      <c r="E32" s="9">
        <f>RANK(C32,$C$2:$C$255)</f>
        <v>141</v>
      </c>
      <c r="F32" s="8">
        <v>258.94</v>
      </c>
      <c r="G32" s="8">
        <v>107.5</v>
      </c>
      <c r="H32" s="8">
        <v>73</v>
      </c>
      <c r="I32" s="8">
        <v>78.44</v>
      </c>
      <c r="J32" s="8">
        <v>33</v>
      </c>
      <c r="K32" s="8">
        <v>77</v>
      </c>
      <c r="L32" s="8">
        <v>60</v>
      </c>
      <c r="M32" s="8" t="s">
        <v>21</v>
      </c>
      <c r="N32" s="8" t="s">
        <v>21</v>
      </c>
      <c r="O32" s="8" t="s">
        <v>21</v>
      </c>
      <c r="P32" s="8" t="s">
        <v>21</v>
      </c>
      <c r="Q32" s="8" t="s">
        <v>21</v>
      </c>
      <c r="R32" s="8">
        <v>78</v>
      </c>
      <c r="S32" s="8">
        <v>48</v>
      </c>
      <c r="T32" s="8" t="s">
        <v>21</v>
      </c>
      <c r="U32" s="10">
        <v>495</v>
      </c>
      <c r="V32" s="9">
        <f>RANK(U32,$U$2:$U$255)</f>
        <v>211</v>
      </c>
      <c r="W32" s="9">
        <f>V32-E32</f>
        <v>70</v>
      </c>
    </row>
    <row r="33" s="12" customFormat="1" spans="1:23">
      <c r="A33" s="8" t="s">
        <v>24</v>
      </c>
      <c r="B33" s="8" t="s">
        <v>56</v>
      </c>
      <c r="C33" s="8">
        <v>441.88</v>
      </c>
      <c r="D33" s="8">
        <v>416.88</v>
      </c>
      <c r="E33" s="9">
        <f>RANK(C33,$C$2:$C$255)</f>
        <v>150</v>
      </c>
      <c r="F33" s="8">
        <v>265.88</v>
      </c>
      <c r="G33" s="8">
        <v>102.5</v>
      </c>
      <c r="H33" s="8">
        <v>59</v>
      </c>
      <c r="I33" s="8">
        <v>104.38</v>
      </c>
      <c r="J33" s="8">
        <v>43</v>
      </c>
      <c r="K33" s="8">
        <v>63</v>
      </c>
      <c r="L33" s="8">
        <v>40</v>
      </c>
      <c r="M33" s="8">
        <v>70</v>
      </c>
      <c r="N33" s="8">
        <v>68</v>
      </c>
      <c r="O33" s="8" t="s">
        <v>21</v>
      </c>
      <c r="P33" s="8" t="s">
        <v>21</v>
      </c>
      <c r="Q33" s="8" t="s">
        <v>21</v>
      </c>
      <c r="R33" s="8" t="s">
        <v>21</v>
      </c>
      <c r="S33" s="8" t="s">
        <v>21</v>
      </c>
      <c r="T33" s="8" t="s">
        <v>21</v>
      </c>
      <c r="U33" s="10">
        <v>491</v>
      </c>
      <c r="V33" s="9">
        <f>RANK(U33,$U$2:$U$255)</f>
        <v>218</v>
      </c>
      <c r="W33" s="9">
        <f>V33-E33</f>
        <v>68</v>
      </c>
    </row>
    <row r="34" s="12" customFormat="1" spans="1:23">
      <c r="A34" s="8" t="s">
        <v>19</v>
      </c>
      <c r="B34" s="8" t="s">
        <v>57</v>
      </c>
      <c r="C34" s="8">
        <v>552.25</v>
      </c>
      <c r="D34" s="8">
        <v>536.25</v>
      </c>
      <c r="E34" s="9">
        <f>RANK(C34,$C$2:$C$255)</f>
        <v>15</v>
      </c>
      <c r="F34" s="8">
        <v>306.25</v>
      </c>
      <c r="G34" s="8">
        <v>112</v>
      </c>
      <c r="H34" s="8">
        <v>98</v>
      </c>
      <c r="I34" s="8">
        <v>96.25</v>
      </c>
      <c r="J34" s="8">
        <v>58</v>
      </c>
      <c r="K34" s="8">
        <v>93</v>
      </c>
      <c r="L34" s="8">
        <v>83</v>
      </c>
      <c r="M34" s="8">
        <v>95</v>
      </c>
      <c r="N34" s="8">
        <v>89</v>
      </c>
      <c r="O34" s="8" t="s">
        <v>21</v>
      </c>
      <c r="P34" s="8" t="s">
        <v>21</v>
      </c>
      <c r="Q34" s="8" t="s">
        <v>21</v>
      </c>
      <c r="R34" s="8" t="s">
        <v>21</v>
      </c>
      <c r="S34" s="8" t="s">
        <v>21</v>
      </c>
      <c r="T34" s="8" t="s">
        <v>21</v>
      </c>
      <c r="U34" s="10">
        <v>528</v>
      </c>
      <c r="V34" s="9">
        <f>RANK(U34,$U$2:$U$255)</f>
        <v>80</v>
      </c>
      <c r="W34" s="9">
        <f>V34-E34</f>
        <v>65</v>
      </c>
    </row>
    <row r="35" s="12" customFormat="1" spans="1:23">
      <c r="A35" s="8" t="s">
        <v>24</v>
      </c>
      <c r="B35" s="8" t="s">
        <v>58</v>
      </c>
      <c r="C35" s="8">
        <v>468.63</v>
      </c>
      <c r="D35" s="8">
        <v>448.63</v>
      </c>
      <c r="E35" s="9">
        <f>RANK(C35,$C$2:$C$255)</f>
        <v>97</v>
      </c>
      <c r="F35" s="8">
        <v>289.63</v>
      </c>
      <c r="G35" s="8">
        <v>109.5</v>
      </c>
      <c r="H35" s="8">
        <v>67</v>
      </c>
      <c r="I35" s="8">
        <v>113.13</v>
      </c>
      <c r="J35" s="8">
        <v>40</v>
      </c>
      <c r="K35" s="8">
        <v>72</v>
      </c>
      <c r="L35" s="8">
        <v>53</v>
      </c>
      <c r="M35" s="8">
        <v>67</v>
      </c>
      <c r="N35" s="8">
        <v>66</v>
      </c>
      <c r="O35" s="8" t="s">
        <v>21</v>
      </c>
      <c r="P35" s="8" t="s">
        <v>21</v>
      </c>
      <c r="Q35" s="8" t="s">
        <v>21</v>
      </c>
      <c r="R35" s="8" t="s">
        <v>21</v>
      </c>
      <c r="S35" s="8" t="s">
        <v>21</v>
      </c>
      <c r="T35" s="8" t="s">
        <v>21</v>
      </c>
      <c r="U35" s="10">
        <v>512</v>
      </c>
      <c r="V35" s="9">
        <f>RANK(U35,$U$2:$U$255)</f>
        <v>157</v>
      </c>
      <c r="W35" s="9">
        <f>V35-E35</f>
        <v>60</v>
      </c>
    </row>
    <row r="36" s="12" customFormat="1" spans="1:23">
      <c r="A36" s="8" t="s">
        <v>26</v>
      </c>
      <c r="B36" s="8" t="s">
        <v>59</v>
      </c>
      <c r="C36" s="8">
        <v>427.5</v>
      </c>
      <c r="D36" s="8">
        <v>377.5</v>
      </c>
      <c r="E36" s="9">
        <f>RANK(C36,$C$2:$C$255)</f>
        <v>164</v>
      </c>
      <c r="F36" s="8">
        <v>261.5</v>
      </c>
      <c r="G36" s="8">
        <v>97.5</v>
      </c>
      <c r="H36" s="8">
        <v>68</v>
      </c>
      <c r="I36" s="8" t="s">
        <v>21</v>
      </c>
      <c r="J36" s="8">
        <v>35</v>
      </c>
      <c r="K36" s="8">
        <v>65</v>
      </c>
      <c r="L36" s="8">
        <v>43</v>
      </c>
      <c r="M36" s="8" t="s">
        <v>21</v>
      </c>
      <c r="N36" s="8" t="s">
        <v>21</v>
      </c>
      <c r="O36" s="8" t="s">
        <v>21</v>
      </c>
      <c r="P36" s="8" t="s">
        <v>21</v>
      </c>
      <c r="Q36" s="8" t="s">
        <v>21</v>
      </c>
      <c r="R36" s="8">
        <v>66</v>
      </c>
      <c r="S36" s="8">
        <v>38</v>
      </c>
      <c r="T36" s="8">
        <v>96</v>
      </c>
      <c r="U36" s="10">
        <v>488</v>
      </c>
      <c r="V36" s="9">
        <f>RANK(U36,$U$2:$U$255)</f>
        <v>223</v>
      </c>
      <c r="W36" s="9">
        <f>V36-E36</f>
        <v>59</v>
      </c>
    </row>
    <row r="37" s="12" customFormat="1" spans="1:23">
      <c r="A37" s="8" t="s">
        <v>37</v>
      </c>
      <c r="B37" s="8" t="s">
        <v>60</v>
      </c>
      <c r="C37" s="8">
        <v>488.19</v>
      </c>
      <c r="D37" s="8">
        <v>479.19</v>
      </c>
      <c r="E37" s="9">
        <f>RANK(C37,$C$2:$C$255)</f>
        <v>71</v>
      </c>
      <c r="F37" s="8">
        <v>268.19</v>
      </c>
      <c r="G37" s="8">
        <v>101.5</v>
      </c>
      <c r="H37" s="8">
        <v>87</v>
      </c>
      <c r="I37" s="8">
        <v>79.69</v>
      </c>
      <c r="J37" s="8">
        <v>53</v>
      </c>
      <c r="K37" s="8">
        <v>88</v>
      </c>
      <c r="L37" s="8">
        <v>77</v>
      </c>
      <c r="M37" s="8" t="s">
        <v>21</v>
      </c>
      <c r="N37" s="8" t="s">
        <v>21</v>
      </c>
      <c r="O37" s="8">
        <v>79</v>
      </c>
      <c r="P37" s="8">
        <v>81</v>
      </c>
      <c r="Q37" s="8" t="s">
        <v>21</v>
      </c>
      <c r="R37" s="8" t="s">
        <v>21</v>
      </c>
      <c r="S37" s="8" t="s">
        <v>21</v>
      </c>
      <c r="T37" s="8" t="s">
        <v>21</v>
      </c>
      <c r="U37" s="10">
        <v>523</v>
      </c>
      <c r="V37" s="9">
        <f>RANK(U37,$U$2:$U$255)</f>
        <v>130</v>
      </c>
      <c r="W37" s="9">
        <f>V37-E37</f>
        <v>59</v>
      </c>
    </row>
    <row r="38" s="12" customFormat="1" spans="1:23">
      <c r="A38" s="8" t="s">
        <v>19</v>
      </c>
      <c r="B38" s="8" t="s">
        <v>61</v>
      </c>
      <c r="C38" s="8">
        <v>536.07</v>
      </c>
      <c r="D38" s="8">
        <v>521.07</v>
      </c>
      <c r="E38" s="9">
        <f>RANK(C38,$C$2:$C$255)</f>
        <v>28</v>
      </c>
      <c r="F38" s="8">
        <v>301.07</v>
      </c>
      <c r="G38" s="8">
        <v>111</v>
      </c>
      <c r="H38" s="8">
        <v>101</v>
      </c>
      <c r="I38" s="8">
        <v>89.07</v>
      </c>
      <c r="J38" s="8">
        <v>59</v>
      </c>
      <c r="K38" s="8">
        <v>93</v>
      </c>
      <c r="L38" s="8">
        <v>83</v>
      </c>
      <c r="M38" s="8">
        <v>83</v>
      </c>
      <c r="N38" s="8">
        <v>78</v>
      </c>
      <c r="O38" s="8" t="s">
        <v>21</v>
      </c>
      <c r="P38" s="8" t="s">
        <v>21</v>
      </c>
      <c r="Q38" s="8" t="s">
        <v>21</v>
      </c>
      <c r="R38" s="8" t="s">
        <v>21</v>
      </c>
      <c r="S38" s="8" t="s">
        <v>21</v>
      </c>
      <c r="T38" s="8" t="s">
        <v>21</v>
      </c>
      <c r="U38" s="10">
        <v>527</v>
      </c>
      <c r="V38" s="9">
        <f>RANK(U38,$U$2:$U$255)</f>
        <v>85</v>
      </c>
      <c r="W38" s="9">
        <f>V38-E38</f>
        <v>57</v>
      </c>
    </row>
    <row r="39" s="12" customFormat="1" spans="1:23">
      <c r="A39" s="8" t="s">
        <v>22</v>
      </c>
      <c r="B39" s="8" t="s">
        <v>62</v>
      </c>
      <c r="C39" s="8">
        <v>540</v>
      </c>
      <c r="D39" s="8">
        <v>499</v>
      </c>
      <c r="E39" s="9">
        <f>RANK(C39,$C$2:$C$255)</f>
        <v>24</v>
      </c>
      <c r="F39" s="8">
        <v>321</v>
      </c>
      <c r="G39" s="8">
        <v>107</v>
      </c>
      <c r="H39" s="8">
        <v>94</v>
      </c>
      <c r="I39" s="8">
        <v>120</v>
      </c>
      <c r="J39" s="8">
        <v>50</v>
      </c>
      <c r="K39" s="8">
        <v>88</v>
      </c>
      <c r="L39" s="8">
        <v>77</v>
      </c>
      <c r="M39" s="8" t="s">
        <v>21</v>
      </c>
      <c r="N39" s="8" t="s">
        <v>21</v>
      </c>
      <c r="O39" s="8" t="s">
        <v>21</v>
      </c>
      <c r="P39" s="8" t="s">
        <v>21</v>
      </c>
      <c r="Q39" s="8" t="s">
        <v>21</v>
      </c>
      <c r="R39" s="8">
        <v>81</v>
      </c>
      <c r="S39" s="8">
        <v>51</v>
      </c>
      <c r="T39" s="8" t="s">
        <v>21</v>
      </c>
      <c r="U39" s="10">
        <v>528</v>
      </c>
      <c r="V39" s="9">
        <f>RANK(U39,$U$2:$U$255)</f>
        <v>80</v>
      </c>
      <c r="W39" s="9">
        <f>V39-E39</f>
        <v>56</v>
      </c>
    </row>
    <row r="40" s="12" customFormat="1" spans="1:23">
      <c r="A40" s="8" t="s">
        <v>24</v>
      </c>
      <c r="B40" s="8" t="s">
        <v>63</v>
      </c>
      <c r="C40" s="8">
        <v>420.19</v>
      </c>
      <c r="D40" s="8">
        <v>395.19</v>
      </c>
      <c r="E40" s="9">
        <f>RANK(C40,$C$2:$C$255)</f>
        <v>180</v>
      </c>
      <c r="F40" s="8">
        <v>257.19</v>
      </c>
      <c r="G40" s="8">
        <v>99</v>
      </c>
      <c r="H40" s="8">
        <v>61</v>
      </c>
      <c r="I40" s="8">
        <v>97.19</v>
      </c>
      <c r="J40" s="8">
        <v>39</v>
      </c>
      <c r="K40" s="8">
        <v>54</v>
      </c>
      <c r="L40" s="8">
        <v>31</v>
      </c>
      <c r="M40" s="8">
        <v>70</v>
      </c>
      <c r="N40" s="8">
        <v>68</v>
      </c>
      <c r="O40" s="8" t="s">
        <v>21</v>
      </c>
      <c r="P40" s="8" t="s">
        <v>21</v>
      </c>
      <c r="Q40" s="8" t="s">
        <v>21</v>
      </c>
      <c r="R40" s="8" t="s">
        <v>21</v>
      </c>
      <c r="S40" s="8" t="s">
        <v>21</v>
      </c>
      <c r="T40" s="8" t="s">
        <v>21</v>
      </c>
      <c r="U40" s="10">
        <v>478</v>
      </c>
      <c r="V40" s="9">
        <f>RANK(U40,$U$2:$U$255)</f>
        <v>235</v>
      </c>
      <c r="W40" s="9">
        <f>V40-E40</f>
        <v>55</v>
      </c>
    </row>
    <row r="41" s="12" customFormat="1" spans="1:23">
      <c r="A41" s="8" t="s">
        <v>26</v>
      </c>
      <c r="B41" s="8" t="s">
        <v>64</v>
      </c>
      <c r="C41" s="8">
        <v>468</v>
      </c>
      <c r="D41" s="8">
        <v>417</v>
      </c>
      <c r="E41" s="9">
        <f>RANK(C41,$C$2:$C$255)</f>
        <v>100</v>
      </c>
      <c r="F41" s="8">
        <v>263</v>
      </c>
      <c r="G41" s="8">
        <v>97.5</v>
      </c>
      <c r="H41" s="8">
        <v>73</v>
      </c>
      <c r="I41" s="8">
        <v>92.5</v>
      </c>
      <c r="J41" s="8">
        <v>46</v>
      </c>
      <c r="K41" s="8">
        <v>72</v>
      </c>
      <c r="L41" s="8">
        <v>52</v>
      </c>
      <c r="M41" s="8" t="s">
        <v>21</v>
      </c>
      <c r="N41" s="8" t="s">
        <v>21</v>
      </c>
      <c r="O41" s="8" t="s">
        <v>21</v>
      </c>
      <c r="P41" s="8" t="s">
        <v>21</v>
      </c>
      <c r="Q41" s="8" t="s">
        <v>21</v>
      </c>
      <c r="R41" s="8">
        <v>87</v>
      </c>
      <c r="S41" s="8">
        <v>56</v>
      </c>
      <c r="T41" s="8" t="s">
        <v>21</v>
      </c>
      <c r="U41" s="10">
        <v>513</v>
      </c>
      <c r="V41" s="9">
        <f>RANK(U41,$U$2:$U$255)</f>
        <v>154</v>
      </c>
      <c r="W41" s="9">
        <f>V41-E41</f>
        <v>54</v>
      </c>
    </row>
    <row r="42" s="12" customFormat="1" spans="1:23">
      <c r="A42" s="8" t="s">
        <v>37</v>
      </c>
      <c r="B42" s="8" t="s">
        <v>65</v>
      </c>
      <c r="C42" s="8">
        <v>466.5</v>
      </c>
      <c r="D42" s="8">
        <v>447.5</v>
      </c>
      <c r="E42" s="9">
        <f>RANK(C42,$C$2:$C$255)</f>
        <v>103</v>
      </c>
      <c r="F42" s="8">
        <v>284.5</v>
      </c>
      <c r="G42" s="8">
        <v>117</v>
      </c>
      <c r="H42" s="8">
        <v>60</v>
      </c>
      <c r="I42" s="8">
        <v>107.5</v>
      </c>
      <c r="J42" s="8">
        <v>32</v>
      </c>
      <c r="K42" s="8">
        <v>69</v>
      </c>
      <c r="L42" s="8">
        <v>48</v>
      </c>
      <c r="M42" s="8" t="s">
        <v>21</v>
      </c>
      <c r="N42" s="8" t="s">
        <v>21</v>
      </c>
      <c r="O42" s="8">
        <v>81</v>
      </c>
      <c r="P42" s="8">
        <v>83</v>
      </c>
      <c r="Q42" s="8" t="s">
        <v>21</v>
      </c>
      <c r="R42" s="8" t="s">
        <v>21</v>
      </c>
      <c r="S42" s="8" t="s">
        <v>21</v>
      </c>
      <c r="T42" s="8" t="s">
        <v>21</v>
      </c>
      <c r="U42" s="10">
        <v>512</v>
      </c>
      <c r="V42" s="9">
        <f>RANK(U42,$U$2:$U$255)</f>
        <v>157</v>
      </c>
      <c r="W42" s="9">
        <f>V42-E42</f>
        <v>54</v>
      </c>
    </row>
    <row r="43" s="12" customFormat="1" spans="1:23">
      <c r="A43" s="8" t="s">
        <v>26</v>
      </c>
      <c r="B43" s="8" t="s">
        <v>66</v>
      </c>
      <c r="C43" s="8">
        <v>454.82</v>
      </c>
      <c r="D43" s="8">
        <v>405.82</v>
      </c>
      <c r="E43" s="9">
        <f>RANK(C43,$C$2:$C$255)</f>
        <v>126</v>
      </c>
      <c r="F43" s="8">
        <v>259.82</v>
      </c>
      <c r="G43" s="8">
        <v>98</v>
      </c>
      <c r="H43" s="8">
        <v>79</v>
      </c>
      <c r="I43" s="8">
        <v>82.82</v>
      </c>
      <c r="J43" s="8">
        <v>43</v>
      </c>
      <c r="K43" s="8">
        <v>73</v>
      </c>
      <c r="L43" s="8">
        <v>54</v>
      </c>
      <c r="M43" s="8" t="s">
        <v>21</v>
      </c>
      <c r="N43" s="8" t="s">
        <v>21</v>
      </c>
      <c r="O43" s="8" t="s">
        <v>21</v>
      </c>
      <c r="P43" s="8" t="s">
        <v>21</v>
      </c>
      <c r="Q43" s="8" t="s">
        <v>21</v>
      </c>
      <c r="R43" s="8">
        <v>79</v>
      </c>
      <c r="S43" s="8">
        <v>49</v>
      </c>
      <c r="T43" s="8" t="s">
        <v>21</v>
      </c>
      <c r="U43" s="10">
        <v>508</v>
      </c>
      <c r="V43" s="9">
        <f>RANK(U43,$U$2:$U$255)</f>
        <v>178</v>
      </c>
      <c r="W43" s="9">
        <f>V43-E43</f>
        <v>52</v>
      </c>
    </row>
    <row r="44" s="12" customFormat="1" spans="1:23">
      <c r="A44" s="8" t="s">
        <v>19</v>
      </c>
      <c r="B44" s="8" t="s">
        <v>67</v>
      </c>
      <c r="C44" s="8">
        <v>524.75</v>
      </c>
      <c r="D44" s="8">
        <v>502.75</v>
      </c>
      <c r="E44" s="9">
        <f>RANK(C44,$C$2:$C$255)</f>
        <v>33</v>
      </c>
      <c r="F44" s="8">
        <v>320.75</v>
      </c>
      <c r="G44" s="8">
        <v>109</v>
      </c>
      <c r="H44" s="8">
        <v>98</v>
      </c>
      <c r="I44" s="8">
        <v>113.75</v>
      </c>
      <c r="J44" s="8">
        <v>64</v>
      </c>
      <c r="K44" s="8">
        <v>71</v>
      </c>
      <c r="L44" s="8">
        <v>51</v>
      </c>
      <c r="M44" s="8">
        <v>69</v>
      </c>
      <c r="N44" s="8">
        <v>67</v>
      </c>
      <c r="O44" s="8" t="s">
        <v>21</v>
      </c>
      <c r="P44" s="8" t="s">
        <v>21</v>
      </c>
      <c r="Q44" s="8" t="s">
        <v>21</v>
      </c>
      <c r="R44" s="8" t="s">
        <v>21</v>
      </c>
      <c r="S44" s="8" t="s">
        <v>21</v>
      </c>
      <c r="T44" s="8" t="s">
        <v>21</v>
      </c>
      <c r="U44" s="10">
        <v>527</v>
      </c>
      <c r="V44" s="9">
        <f>RANK(U44,$U$2:$U$255)</f>
        <v>85</v>
      </c>
      <c r="W44" s="9">
        <f>V44-E44</f>
        <v>52</v>
      </c>
    </row>
    <row r="45" s="12" customFormat="1" spans="1:23">
      <c r="A45" s="8" t="s">
        <v>37</v>
      </c>
      <c r="B45" s="8" t="s">
        <v>68</v>
      </c>
      <c r="C45" s="8">
        <v>493.88</v>
      </c>
      <c r="D45" s="8">
        <v>479.88</v>
      </c>
      <c r="E45" s="9">
        <f>RANK(C45,$C$2:$C$255)</f>
        <v>65</v>
      </c>
      <c r="F45" s="8">
        <v>300.88</v>
      </c>
      <c r="G45" s="8">
        <v>107</v>
      </c>
      <c r="H45" s="8">
        <v>77</v>
      </c>
      <c r="I45" s="8">
        <v>116.88</v>
      </c>
      <c r="J45" s="8">
        <v>34</v>
      </c>
      <c r="K45" s="8">
        <v>77</v>
      </c>
      <c r="L45" s="8">
        <v>61</v>
      </c>
      <c r="M45" s="8" t="s">
        <v>21</v>
      </c>
      <c r="N45" s="8" t="s">
        <v>21</v>
      </c>
      <c r="O45" s="8">
        <v>82</v>
      </c>
      <c r="P45" s="8">
        <v>84</v>
      </c>
      <c r="Q45" s="8" t="s">
        <v>21</v>
      </c>
      <c r="R45" s="8" t="s">
        <v>21</v>
      </c>
      <c r="S45" s="8" t="s">
        <v>21</v>
      </c>
      <c r="T45" s="8" t="s">
        <v>21</v>
      </c>
      <c r="U45" s="10">
        <v>524</v>
      </c>
      <c r="V45" s="9">
        <f>RANK(U45,$U$2:$U$255)</f>
        <v>117</v>
      </c>
      <c r="W45" s="9">
        <f>V45-E45</f>
        <v>52</v>
      </c>
    </row>
    <row r="46" s="12" customFormat="1" spans="1:23">
      <c r="A46" s="8" t="s">
        <v>19</v>
      </c>
      <c r="B46" s="8" t="s">
        <v>69</v>
      </c>
      <c r="C46" s="8">
        <v>504.63</v>
      </c>
      <c r="D46" s="8">
        <v>483.63</v>
      </c>
      <c r="E46" s="9">
        <f>RANK(C46,$C$2:$C$255)</f>
        <v>49</v>
      </c>
      <c r="F46" s="8">
        <v>307.63</v>
      </c>
      <c r="G46" s="8">
        <v>113.5</v>
      </c>
      <c r="H46" s="8">
        <v>76</v>
      </c>
      <c r="I46" s="8">
        <v>118.13</v>
      </c>
      <c r="J46" s="8">
        <v>42</v>
      </c>
      <c r="K46" s="8">
        <v>77</v>
      </c>
      <c r="L46" s="8">
        <v>60</v>
      </c>
      <c r="M46" s="8">
        <v>78</v>
      </c>
      <c r="N46" s="8">
        <v>74</v>
      </c>
      <c r="O46" s="8" t="s">
        <v>21</v>
      </c>
      <c r="P46" s="8" t="s">
        <v>21</v>
      </c>
      <c r="Q46" s="8" t="s">
        <v>21</v>
      </c>
      <c r="R46" s="8" t="s">
        <v>21</v>
      </c>
      <c r="S46" s="8" t="s">
        <v>21</v>
      </c>
      <c r="T46" s="8" t="s">
        <v>21</v>
      </c>
      <c r="U46" s="10">
        <v>526</v>
      </c>
      <c r="V46" s="9">
        <f>RANK(U46,$U$2:$U$255)</f>
        <v>100</v>
      </c>
      <c r="W46" s="9">
        <f>V46-E46</f>
        <v>51</v>
      </c>
    </row>
    <row r="47" s="12" customFormat="1" spans="1:23">
      <c r="A47" s="8" t="s">
        <v>37</v>
      </c>
      <c r="B47" s="8" t="s">
        <v>70</v>
      </c>
      <c r="C47" s="8">
        <v>428.5</v>
      </c>
      <c r="D47" s="8">
        <v>406.5</v>
      </c>
      <c r="E47" s="9">
        <f>RANK(C47,$C$2:$C$255)</f>
        <v>163</v>
      </c>
      <c r="F47" s="8">
        <v>266.5</v>
      </c>
      <c r="G47" s="8">
        <v>101</v>
      </c>
      <c r="H47" s="8">
        <v>63</v>
      </c>
      <c r="I47" s="8">
        <v>102.5</v>
      </c>
      <c r="J47" s="8">
        <v>31</v>
      </c>
      <c r="K47" s="8">
        <v>63</v>
      </c>
      <c r="L47" s="8">
        <v>40</v>
      </c>
      <c r="M47" s="8" t="s">
        <v>21</v>
      </c>
      <c r="N47" s="8" t="s">
        <v>21</v>
      </c>
      <c r="O47" s="8">
        <v>68</v>
      </c>
      <c r="P47" s="8">
        <v>69</v>
      </c>
      <c r="Q47" s="8" t="s">
        <v>21</v>
      </c>
      <c r="R47" s="8" t="s">
        <v>21</v>
      </c>
      <c r="S47" s="8" t="s">
        <v>21</v>
      </c>
      <c r="T47" s="8" t="s">
        <v>21</v>
      </c>
      <c r="U47" s="10">
        <v>492</v>
      </c>
      <c r="V47" s="9">
        <f>RANK(U47,$U$2:$U$255)</f>
        <v>214</v>
      </c>
      <c r="W47" s="9">
        <f>V47-E47</f>
        <v>51</v>
      </c>
    </row>
    <row r="48" s="12" customFormat="1" spans="1:23">
      <c r="A48" s="8" t="s">
        <v>26</v>
      </c>
      <c r="B48" s="8" t="s">
        <v>71</v>
      </c>
      <c r="C48" s="8">
        <v>415.5</v>
      </c>
      <c r="D48" s="8">
        <v>362.5</v>
      </c>
      <c r="E48" s="9">
        <f>RANK(C48,$C$2:$C$255)</f>
        <v>185</v>
      </c>
      <c r="F48" s="8">
        <v>270.5</v>
      </c>
      <c r="G48" s="8">
        <v>105.5</v>
      </c>
      <c r="H48" s="8">
        <v>53</v>
      </c>
      <c r="I48" s="8" t="s">
        <v>21</v>
      </c>
      <c r="J48" s="8">
        <v>20</v>
      </c>
      <c r="K48" s="8">
        <v>54</v>
      </c>
      <c r="L48" s="8">
        <v>31</v>
      </c>
      <c r="M48" s="8" t="s">
        <v>21</v>
      </c>
      <c r="N48" s="8" t="s">
        <v>21</v>
      </c>
      <c r="O48" s="8" t="s">
        <v>21</v>
      </c>
      <c r="P48" s="8" t="s">
        <v>21</v>
      </c>
      <c r="Q48" s="8" t="s">
        <v>21</v>
      </c>
      <c r="R48" s="8">
        <v>71</v>
      </c>
      <c r="S48" s="8">
        <v>41</v>
      </c>
      <c r="T48" s="8">
        <v>112</v>
      </c>
      <c r="U48" s="10">
        <v>481</v>
      </c>
      <c r="V48" s="9">
        <f>RANK(U48,$U$2:$U$255)</f>
        <v>234</v>
      </c>
      <c r="W48" s="9">
        <f>V48-E48</f>
        <v>49</v>
      </c>
    </row>
    <row r="49" s="12" customFormat="1" spans="1:23">
      <c r="A49" s="8" t="s">
        <v>19</v>
      </c>
      <c r="B49" s="8" t="s">
        <v>72</v>
      </c>
      <c r="C49" s="8">
        <v>449.13</v>
      </c>
      <c r="D49" s="8">
        <v>427.13</v>
      </c>
      <c r="E49" s="9">
        <f>RANK(C49,$C$2:$C$255)</f>
        <v>137</v>
      </c>
      <c r="F49" s="8">
        <v>246.13</v>
      </c>
      <c r="G49" s="8">
        <v>106</v>
      </c>
      <c r="H49" s="8">
        <v>72</v>
      </c>
      <c r="I49" s="8">
        <v>68.13</v>
      </c>
      <c r="J49" s="8">
        <v>55</v>
      </c>
      <c r="K49" s="8">
        <v>73</v>
      </c>
      <c r="L49" s="8">
        <v>54</v>
      </c>
      <c r="M49" s="8">
        <v>75</v>
      </c>
      <c r="N49" s="8">
        <v>72</v>
      </c>
      <c r="O49" s="8" t="s">
        <v>21</v>
      </c>
      <c r="P49" s="8" t="s">
        <v>21</v>
      </c>
      <c r="Q49" s="8" t="s">
        <v>21</v>
      </c>
      <c r="R49" s="8" t="s">
        <v>21</v>
      </c>
      <c r="S49" s="8" t="s">
        <v>21</v>
      </c>
      <c r="T49" s="8" t="s">
        <v>21</v>
      </c>
      <c r="U49" s="10">
        <v>505</v>
      </c>
      <c r="V49" s="9">
        <f>RANK(U49,$U$2:$U$255)</f>
        <v>186</v>
      </c>
      <c r="W49" s="9">
        <f>V49-E49</f>
        <v>49</v>
      </c>
    </row>
    <row r="50" s="12" customFormat="1" spans="1:23">
      <c r="A50" s="8" t="s">
        <v>26</v>
      </c>
      <c r="B50" s="8" t="s">
        <v>73</v>
      </c>
      <c r="C50" s="8">
        <v>438.5</v>
      </c>
      <c r="D50" s="8">
        <v>391.5</v>
      </c>
      <c r="E50" s="9">
        <f>RANK(C50,$C$2:$C$255)</f>
        <v>154</v>
      </c>
      <c r="F50" s="8">
        <v>257.5</v>
      </c>
      <c r="G50" s="8">
        <v>95</v>
      </c>
      <c r="H50" s="8">
        <v>55</v>
      </c>
      <c r="I50" s="8">
        <v>107.5</v>
      </c>
      <c r="J50" s="8">
        <v>38</v>
      </c>
      <c r="K50" s="8">
        <v>75</v>
      </c>
      <c r="L50" s="8">
        <v>57</v>
      </c>
      <c r="M50" s="8" t="s">
        <v>21</v>
      </c>
      <c r="N50" s="8" t="s">
        <v>21</v>
      </c>
      <c r="O50" s="8" t="s">
        <v>21</v>
      </c>
      <c r="P50" s="8" t="s">
        <v>21</v>
      </c>
      <c r="Q50" s="8" t="s">
        <v>21</v>
      </c>
      <c r="R50" s="8">
        <v>68</v>
      </c>
      <c r="S50" s="8">
        <v>39</v>
      </c>
      <c r="T50" s="8" t="s">
        <v>21</v>
      </c>
      <c r="U50" s="10">
        <v>499</v>
      </c>
      <c r="V50" s="9">
        <f>RANK(U50,$U$2:$U$255)</f>
        <v>202</v>
      </c>
      <c r="W50" s="9">
        <f>V50-E50</f>
        <v>48</v>
      </c>
    </row>
    <row r="51" s="12" customFormat="1" spans="1:23">
      <c r="A51" s="8" t="s">
        <v>22</v>
      </c>
      <c r="B51" s="8" t="s">
        <v>74</v>
      </c>
      <c r="C51" s="8">
        <v>446.88</v>
      </c>
      <c r="D51" s="8">
        <v>405.88</v>
      </c>
      <c r="E51" s="9">
        <f>RANK(C51,$C$2:$C$255)</f>
        <v>142</v>
      </c>
      <c r="F51" s="8">
        <v>237.88</v>
      </c>
      <c r="G51" s="8">
        <v>101.5</v>
      </c>
      <c r="H51" s="8">
        <v>67</v>
      </c>
      <c r="I51" s="8">
        <v>69.38</v>
      </c>
      <c r="J51" s="8">
        <v>46</v>
      </c>
      <c r="K51" s="8">
        <v>92</v>
      </c>
      <c r="L51" s="8">
        <v>81</v>
      </c>
      <c r="M51" s="8" t="s">
        <v>21</v>
      </c>
      <c r="N51" s="8" t="s">
        <v>21</v>
      </c>
      <c r="O51" s="8" t="s">
        <v>21</v>
      </c>
      <c r="P51" s="8" t="s">
        <v>21</v>
      </c>
      <c r="Q51" s="8" t="s">
        <v>21</v>
      </c>
      <c r="R51" s="8">
        <v>71</v>
      </c>
      <c r="S51" s="8">
        <v>41</v>
      </c>
      <c r="T51" s="8" t="s">
        <v>21</v>
      </c>
      <c r="U51" s="10">
        <v>505</v>
      </c>
      <c r="V51" s="9">
        <f>RANK(U51,$U$2:$U$255)</f>
        <v>186</v>
      </c>
      <c r="W51" s="9">
        <f>V51-E51</f>
        <v>44</v>
      </c>
    </row>
    <row r="52" s="12" customFormat="1" spans="1:23">
      <c r="A52" s="8" t="s">
        <v>22</v>
      </c>
      <c r="B52" s="8" t="s">
        <v>75</v>
      </c>
      <c r="C52" s="8">
        <v>586.82</v>
      </c>
      <c r="D52" s="8">
        <v>543.82</v>
      </c>
      <c r="E52" s="9">
        <f>RANK(C52,$C$2:$C$255)</f>
        <v>3</v>
      </c>
      <c r="F52" s="8">
        <v>330.82</v>
      </c>
      <c r="G52" s="8">
        <v>115</v>
      </c>
      <c r="H52" s="8">
        <v>108</v>
      </c>
      <c r="I52" s="8">
        <v>107.82</v>
      </c>
      <c r="J52" s="8">
        <v>73</v>
      </c>
      <c r="K52" s="8">
        <v>89</v>
      </c>
      <c r="L52" s="8">
        <v>78</v>
      </c>
      <c r="M52" s="8" t="s">
        <v>21</v>
      </c>
      <c r="N52" s="8" t="s">
        <v>21</v>
      </c>
      <c r="O52" s="8" t="s">
        <v>21</v>
      </c>
      <c r="P52" s="8" t="s">
        <v>21</v>
      </c>
      <c r="Q52" s="8" t="s">
        <v>21</v>
      </c>
      <c r="R52" s="8">
        <v>94</v>
      </c>
      <c r="S52" s="8">
        <v>62</v>
      </c>
      <c r="T52" s="8" t="s">
        <v>21</v>
      </c>
      <c r="U52" s="10">
        <v>531</v>
      </c>
      <c r="V52" s="9">
        <f>RANK(U52,$U$2:$U$255)</f>
        <v>47</v>
      </c>
      <c r="W52" s="9">
        <f>V52-E52</f>
        <v>44</v>
      </c>
    </row>
    <row r="53" s="12" customFormat="1" spans="1:23">
      <c r="A53" s="8" t="s">
        <v>26</v>
      </c>
      <c r="B53" s="8" t="s">
        <v>76</v>
      </c>
      <c r="C53" s="8">
        <v>417.25</v>
      </c>
      <c r="D53" s="8">
        <v>373.25</v>
      </c>
      <c r="E53" s="9">
        <f>RANK(C53,$C$2:$C$255)</f>
        <v>183</v>
      </c>
      <c r="F53" s="8">
        <v>250.25</v>
      </c>
      <c r="G53" s="8">
        <v>94</v>
      </c>
      <c r="H53" s="8">
        <v>55</v>
      </c>
      <c r="I53" s="8">
        <v>101.25</v>
      </c>
      <c r="J53" s="8">
        <v>31</v>
      </c>
      <c r="K53" s="8">
        <v>75</v>
      </c>
      <c r="L53" s="8">
        <v>57</v>
      </c>
      <c r="M53" s="8" t="s">
        <v>21</v>
      </c>
      <c r="N53" s="8" t="s">
        <v>21</v>
      </c>
      <c r="O53" s="8" t="s">
        <v>21</v>
      </c>
      <c r="P53" s="8" t="s">
        <v>21</v>
      </c>
      <c r="Q53" s="8" t="s">
        <v>21</v>
      </c>
      <c r="R53" s="8">
        <v>61</v>
      </c>
      <c r="S53" s="8">
        <v>35</v>
      </c>
      <c r="T53" s="8" t="s">
        <v>21</v>
      </c>
      <c r="U53" s="10">
        <v>486</v>
      </c>
      <c r="V53" s="9">
        <f>RANK(U53,$U$2:$U$255)</f>
        <v>227</v>
      </c>
      <c r="W53" s="9">
        <f>V53-E53</f>
        <v>44</v>
      </c>
    </row>
    <row r="54" s="12" customFormat="1" spans="1:23">
      <c r="A54" s="8" t="s">
        <v>26</v>
      </c>
      <c r="B54" s="8" t="s">
        <v>77</v>
      </c>
      <c r="C54" s="8">
        <v>446.25</v>
      </c>
      <c r="D54" s="8">
        <v>395.25</v>
      </c>
      <c r="E54" s="9">
        <f>RANK(C54,$C$2:$C$255)</f>
        <v>143</v>
      </c>
      <c r="F54" s="8">
        <v>260.25</v>
      </c>
      <c r="G54" s="8">
        <v>110</v>
      </c>
      <c r="H54" s="8">
        <v>59</v>
      </c>
      <c r="I54" s="8">
        <v>91.25</v>
      </c>
      <c r="J54" s="8">
        <v>44</v>
      </c>
      <c r="K54" s="8">
        <v>69</v>
      </c>
      <c r="L54" s="8">
        <v>48</v>
      </c>
      <c r="M54" s="8" t="s">
        <v>21</v>
      </c>
      <c r="N54" s="8" t="s">
        <v>21</v>
      </c>
      <c r="O54" s="8" t="s">
        <v>21</v>
      </c>
      <c r="P54" s="8" t="s">
        <v>21</v>
      </c>
      <c r="Q54" s="8" t="s">
        <v>21</v>
      </c>
      <c r="R54" s="8">
        <v>73</v>
      </c>
      <c r="S54" s="8">
        <v>43</v>
      </c>
      <c r="T54" s="8" t="s">
        <v>21</v>
      </c>
      <c r="U54" s="10">
        <v>505</v>
      </c>
      <c r="V54" s="9">
        <f>RANK(U54,$U$2:$U$255)</f>
        <v>186</v>
      </c>
      <c r="W54" s="9">
        <f>V54-E54</f>
        <v>43</v>
      </c>
    </row>
    <row r="55" s="12" customFormat="1" spans="1:23">
      <c r="A55" s="8" t="s">
        <v>24</v>
      </c>
      <c r="B55" s="8" t="s">
        <v>78</v>
      </c>
      <c r="C55" s="8">
        <v>417.69</v>
      </c>
      <c r="D55" s="8">
        <v>392.69</v>
      </c>
      <c r="E55" s="9">
        <f>RANK(C55,$C$2:$C$255)</f>
        <v>182</v>
      </c>
      <c r="F55" s="8">
        <v>255.69</v>
      </c>
      <c r="G55" s="8">
        <v>95</v>
      </c>
      <c r="H55" s="8">
        <v>66</v>
      </c>
      <c r="I55" s="8">
        <v>94.69</v>
      </c>
      <c r="J55" s="8">
        <v>36</v>
      </c>
      <c r="K55" s="8">
        <v>59</v>
      </c>
      <c r="L55" s="8">
        <v>35</v>
      </c>
      <c r="M55" s="8">
        <v>67</v>
      </c>
      <c r="N55" s="8">
        <v>66</v>
      </c>
      <c r="O55" s="8" t="s">
        <v>21</v>
      </c>
      <c r="P55" s="8" t="s">
        <v>21</v>
      </c>
      <c r="Q55" s="8" t="s">
        <v>21</v>
      </c>
      <c r="R55" s="8" t="s">
        <v>21</v>
      </c>
      <c r="S55" s="8" t="s">
        <v>21</v>
      </c>
      <c r="T55" s="8" t="s">
        <v>21</v>
      </c>
      <c r="U55" s="10">
        <v>487</v>
      </c>
      <c r="V55" s="9">
        <f>RANK(U55,$U$2:$U$255)</f>
        <v>225</v>
      </c>
      <c r="W55" s="9">
        <f>V55-E55</f>
        <v>43</v>
      </c>
    </row>
    <row r="56" s="12" customFormat="1" spans="1:23">
      <c r="A56" s="8" t="s">
        <v>26</v>
      </c>
      <c r="B56" s="8" t="s">
        <v>79</v>
      </c>
      <c r="C56" s="8">
        <v>413.88</v>
      </c>
      <c r="D56" s="8">
        <v>360.88</v>
      </c>
      <c r="E56" s="9">
        <f>RANK(C56,$C$2:$C$255)</f>
        <v>188</v>
      </c>
      <c r="F56" s="8">
        <v>246.88</v>
      </c>
      <c r="G56" s="8">
        <v>107</v>
      </c>
      <c r="H56" s="8">
        <v>68</v>
      </c>
      <c r="I56" s="8">
        <v>71.88</v>
      </c>
      <c r="J56" s="8">
        <v>33</v>
      </c>
      <c r="K56" s="8">
        <v>62</v>
      </c>
      <c r="L56" s="8">
        <v>39</v>
      </c>
      <c r="M56" s="8" t="s">
        <v>21</v>
      </c>
      <c r="N56" s="8" t="s">
        <v>21</v>
      </c>
      <c r="O56" s="8" t="s">
        <v>21</v>
      </c>
      <c r="P56" s="8" t="s">
        <v>21</v>
      </c>
      <c r="Q56" s="8" t="s">
        <v>21</v>
      </c>
      <c r="R56" s="8">
        <v>72</v>
      </c>
      <c r="S56" s="8">
        <v>42</v>
      </c>
      <c r="T56" s="8" t="s">
        <v>21</v>
      </c>
      <c r="U56" s="10">
        <v>484</v>
      </c>
      <c r="V56" s="9">
        <f>RANK(U56,$U$2:$U$255)</f>
        <v>230</v>
      </c>
      <c r="W56" s="9">
        <f>V56-E56</f>
        <v>42</v>
      </c>
    </row>
    <row r="57" s="12" customFormat="1" spans="1:23">
      <c r="A57" s="8" t="s">
        <v>19</v>
      </c>
      <c r="B57" s="8" t="s">
        <v>80</v>
      </c>
      <c r="C57" s="8">
        <v>462.82</v>
      </c>
      <c r="D57" s="8">
        <v>440.82</v>
      </c>
      <c r="E57" s="9">
        <f>RANK(C57,$C$2:$C$255)</f>
        <v>109</v>
      </c>
      <c r="F57" s="8">
        <v>262.82</v>
      </c>
      <c r="G57" s="8">
        <v>103</v>
      </c>
      <c r="H57" s="8">
        <v>72</v>
      </c>
      <c r="I57" s="8">
        <v>87.82</v>
      </c>
      <c r="J57" s="8">
        <v>38</v>
      </c>
      <c r="K57" s="8">
        <v>77</v>
      </c>
      <c r="L57" s="8">
        <v>60</v>
      </c>
      <c r="M57" s="8">
        <v>85</v>
      </c>
      <c r="N57" s="8">
        <v>80</v>
      </c>
      <c r="O57" s="8" t="s">
        <v>21</v>
      </c>
      <c r="P57" s="8" t="s">
        <v>21</v>
      </c>
      <c r="Q57" s="8" t="s">
        <v>21</v>
      </c>
      <c r="R57" s="8" t="s">
        <v>21</v>
      </c>
      <c r="S57" s="8" t="s">
        <v>21</v>
      </c>
      <c r="T57" s="8" t="s">
        <v>21</v>
      </c>
      <c r="U57" s="10">
        <v>515</v>
      </c>
      <c r="V57" s="9">
        <f>RANK(U57,$U$2:$U$255)</f>
        <v>150</v>
      </c>
      <c r="W57" s="9">
        <f>V57-E57</f>
        <v>41</v>
      </c>
    </row>
    <row r="58" s="12" customFormat="1" spans="1:23">
      <c r="A58" s="8" t="s">
        <v>19</v>
      </c>
      <c r="B58" s="8" t="s">
        <v>81</v>
      </c>
      <c r="C58" s="8">
        <v>573.32</v>
      </c>
      <c r="D58" s="8">
        <v>558.32</v>
      </c>
      <c r="E58" s="9">
        <f>RANK(C58,$C$2:$C$255)</f>
        <v>7</v>
      </c>
      <c r="F58" s="8">
        <v>315.32</v>
      </c>
      <c r="G58" s="8">
        <v>103.5</v>
      </c>
      <c r="H58" s="8">
        <v>109</v>
      </c>
      <c r="I58" s="8">
        <v>102.82</v>
      </c>
      <c r="J58" s="8">
        <v>60</v>
      </c>
      <c r="K58" s="8">
        <v>98</v>
      </c>
      <c r="L58" s="8">
        <v>90</v>
      </c>
      <c r="M58" s="8">
        <v>100</v>
      </c>
      <c r="N58" s="8">
        <v>93</v>
      </c>
      <c r="O58" s="8" t="s">
        <v>21</v>
      </c>
      <c r="P58" s="8" t="s">
        <v>21</v>
      </c>
      <c r="Q58" s="8" t="s">
        <v>21</v>
      </c>
      <c r="R58" s="8" t="s">
        <v>21</v>
      </c>
      <c r="S58" s="8" t="s">
        <v>21</v>
      </c>
      <c r="T58" s="8" t="s">
        <v>21</v>
      </c>
      <c r="U58" s="10">
        <v>531</v>
      </c>
      <c r="V58" s="9">
        <f>RANK(U58,$U$2:$U$255)</f>
        <v>47</v>
      </c>
      <c r="W58" s="9">
        <f>V58-E58</f>
        <v>40</v>
      </c>
    </row>
    <row r="59" s="12" customFormat="1" spans="1:23">
      <c r="A59" s="8" t="s">
        <v>22</v>
      </c>
      <c r="B59" s="8" t="s">
        <v>82</v>
      </c>
      <c r="C59" s="8">
        <v>482.82</v>
      </c>
      <c r="D59" s="8">
        <v>434.82</v>
      </c>
      <c r="E59" s="9">
        <f>RANK(C59,$C$2:$C$255)</f>
        <v>80</v>
      </c>
      <c r="F59" s="8">
        <v>284.82</v>
      </c>
      <c r="G59" s="8">
        <v>108</v>
      </c>
      <c r="H59" s="8">
        <v>84</v>
      </c>
      <c r="I59" s="8">
        <v>92.82</v>
      </c>
      <c r="J59" s="8">
        <v>50</v>
      </c>
      <c r="K59" s="8">
        <v>74</v>
      </c>
      <c r="L59" s="8">
        <v>56</v>
      </c>
      <c r="M59" s="8" t="s">
        <v>21</v>
      </c>
      <c r="N59" s="8" t="s">
        <v>21</v>
      </c>
      <c r="O59" s="8" t="s">
        <v>21</v>
      </c>
      <c r="P59" s="8" t="s">
        <v>21</v>
      </c>
      <c r="Q59" s="8" t="s">
        <v>21</v>
      </c>
      <c r="R59" s="8">
        <v>74</v>
      </c>
      <c r="S59" s="8">
        <v>44</v>
      </c>
      <c r="T59" s="8" t="s">
        <v>21</v>
      </c>
      <c r="U59" s="10">
        <v>524</v>
      </c>
      <c r="V59" s="9">
        <f>RANK(U59,$U$2:$U$255)</f>
        <v>117</v>
      </c>
      <c r="W59" s="9">
        <f>V59-E59</f>
        <v>37</v>
      </c>
    </row>
    <row r="60" s="12" customFormat="1" spans="1:23">
      <c r="A60" s="8" t="s">
        <v>26</v>
      </c>
      <c r="B60" s="8" t="s">
        <v>83</v>
      </c>
      <c r="C60" s="8">
        <v>422.13</v>
      </c>
      <c r="D60" s="8">
        <v>379.13</v>
      </c>
      <c r="E60" s="9">
        <f>RANK(C60,$C$2:$C$255)</f>
        <v>177</v>
      </c>
      <c r="F60" s="8">
        <v>261.13</v>
      </c>
      <c r="G60" s="8">
        <v>108</v>
      </c>
      <c r="H60" s="8">
        <v>60</v>
      </c>
      <c r="I60" s="8">
        <v>93.13</v>
      </c>
      <c r="J60" s="8">
        <v>29</v>
      </c>
      <c r="K60" s="8">
        <v>73</v>
      </c>
      <c r="L60" s="8">
        <v>55</v>
      </c>
      <c r="M60" s="8" t="s">
        <v>21</v>
      </c>
      <c r="N60" s="8" t="s">
        <v>21</v>
      </c>
      <c r="O60" s="8" t="s">
        <v>21</v>
      </c>
      <c r="P60" s="8" t="s">
        <v>21</v>
      </c>
      <c r="Q60" s="8" t="s">
        <v>21</v>
      </c>
      <c r="R60" s="8">
        <v>59</v>
      </c>
      <c r="S60" s="8">
        <v>34</v>
      </c>
      <c r="T60" s="8" t="s">
        <v>21</v>
      </c>
      <c r="U60" s="10">
        <v>492</v>
      </c>
      <c r="V60" s="9">
        <f>RANK(U60,$U$2:$U$255)</f>
        <v>214</v>
      </c>
      <c r="W60" s="9">
        <f>V60-E60</f>
        <v>37</v>
      </c>
    </row>
    <row r="61" s="12" customFormat="1" spans="1:23">
      <c r="A61" s="8" t="s">
        <v>19</v>
      </c>
      <c r="B61" s="8" t="s">
        <v>84</v>
      </c>
      <c r="C61" s="8">
        <v>457.75</v>
      </c>
      <c r="D61" s="8">
        <v>439.75</v>
      </c>
      <c r="E61" s="9">
        <f>RANK(C61,$C$2:$C$255)</f>
        <v>121</v>
      </c>
      <c r="F61" s="8">
        <v>258.75</v>
      </c>
      <c r="G61" s="8">
        <v>96</v>
      </c>
      <c r="H61" s="8">
        <v>59</v>
      </c>
      <c r="I61" s="8">
        <v>103.75</v>
      </c>
      <c r="J61" s="8">
        <v>40</v>
      </c>
      <c r="K61" s="8">
        <v>80</v>
      </c>
      <c r="L61" s="8">
        <v>66</v>
      </c>
      <c r="M61" s="8">
        <v>79</v>
      </c>
      <c r="N61" s="8">
        <v>75</v>
      </c>
      <c r="O61" s="8" t="s">
        <v>21</v>
      </c>
      <c r="P61" s="8" t="s">
        <v>21</v>
      </c>
      <c r="Q61" s="8" t="s">
        <v>21</v>
      </c>
      <c r="R61" s="8" t="s">
        <v>21</v>
      </c>
      <c r="S61" s="8" t="s">
        <v>21</v>
      </c>
      <c r="T61" s="8" t="s">
        <v>21</v>
      </c>
      <c r="U61" s="10">
        <v>512</v>
      </c>
      <c r="V61" s="9">
        <f>RANK(U61,$U$2:$U$255)</f>
        <v>157</v>
      </c>
      <c r="W61" s="9">
        <f>V61-E61</f>
        <v>36</v>
      </c>
    </row>
    <row r="62" s="12" customFormat="1" spans="1:23">
      <c r="A62" s="8" t="s">
        <v>19</v>
      </c>
      <c r="B62" s="8" t="s">
        <v>85</v>
      </c>
      <c r="C62" s="8">
        <v>486.32</v>
      </c>
      <c r="D62" s="8">
        <v>464.32</v>
      </c>
      <c r="E62" s="9">
        <f>RANK(C62,$C$2:$C$255)</f>
        <v>74</v>
      </c>
      <c r="F62" s="8">
        <v>314.32</v>
      </c>
      <c r="G62" s="8">
        <v>111.5</v>
      </c>
      <c r="H62" s="8">
        <v>80</v>
      </c>
      <c r="I62" s="8">
        <v>122.82</v>
      </c>
      <c r="J62" s="8">
        <v>32</v>
      </c>
      <c r="K62" s="8">
        <v>70</v>
      </c>
      <c r="L62" s="8">
        <v>50</v>
      </c>
      <c r="M62" s="8">
        <v>70</v>
      </c>
      <c r="N62" s="8">
        <v>68</v>
      </c>
      <c r="O62" s="8" t="s">
        <v>21</v>
      </c>
      <c r="P62" s="8" t="s">
        <v>21</v>
      </c>
      <c r="Q62" s="8" t="s">
        <v>21</v>
      </c>
      <c r="R62" s="8" t="s">
        <v>21</v>
      </c>
      <c r="S62" s="8" t="s">
        <v>21</v>
      </c>
      <c r="T62" s="8" t="s">
        <v>21</v>
      </c>
      <c r="U62" s="10">
        <v>525</v>
      </c>
      <c r="V62" s="9">
        <f>RANK(U62,$U$2:$U$255)</f>
        <v>109</v>
      </c>
      <c r="W62" s="9">
        <f>V62-E62</f>
        <v>35</v>
      </c>
    </row>
    <row r="63" s="12" customFormat="1" spans="1:23">
      <c r="A63" s="8" t="s">
        <v>19</v>
      </c>
      <c r="B63" s="8" t="s">
        <v>86</v>
      </c>
      <c r="C63" s="8">
        <v>552.32</v>
      </c>
      <c r="D63" s="8">
        <v>532.32</v>
      </c>
      <c r="E63" s="9">
        <f>RANK(C63,$C$2:$C$255)</f>
        <v>14</v>
      </c>
      <c r="F63" s="8">
        <v>338.32</v>
      </c>
      <c r="G63" s="8">
        <v>113</v>
      </c>
      <c r="H63" s="8">
        <v>100</v>
      </c>
      <c r="I63" s="8">
        <v>125.32</v>
      </c>
      <c r="J63" s="8">
        <v>52</v>
      </c>
      <c r="K63" s="8">
        <v>79</v>
      </c>
      <c r="L63" s="8">
        <v>64</v>
      </c>
      <c r="M63" s="8">
        <v>83</v>
      </c>
      <c r="N63" s="8">
        <v>78</v>
      </c>
      <c r="O63" s="8" t="s">
        <v>21</v>
      </c>
      <c r="P63" s="8" t="s">
        <v>21</v>
      </c>
      <c r="Q63" s="8" t="s">
        <v>21</v>
      </c>
      <c r="R63" s="8" t="s">
        <v>21</v>
      </c>
      <c r="S63" s="8" t="s">
        <v>21</v>
      </c>
      <c r="T63" s="8" t="s">
        <v>21</v>
      </c>
      <c r="U63" s="10">
        <v>531</v>
      </c>
      <c r="V63" s="9">
        <f>RANK(U63,$U$2:$U$255)</f>
        <v>47</v>
      </c>
      <c r="W63" s="9">
        <f>V63-E63</f>
        <v>33</v>
      </c>
    </row>
    <row r="64" s="12" customFormat="1" spans="1:23">
      <c r="A64" s="8" t="s">
        <v>22</v>
      </c>
      <c r="B64" s="8" t="s">
        <v>87</v>
      </c>
      <c r="C64" s="8">
        <v>468.5</v>
      </c>
      <c r="D64" s="8">
        <v>427.5</v>
      </c>
      <c r="E64" s="9">
        <f>RANK(C64,$C$2:$C$255)</f>
        <v>98</v>
      </c>
      <c r="F64" s="8">
        <v>295.5</v>
      </c>
      <c r="G64" s="8">
        <v>109</v>
      </c>
      <c r="H64" s="8">
        <v>84</v>
      </c>
      <c r="I64" s="8">
        <v>102.5</v>
      </c>
      <c r="J64" s="8">
        <v>37</v>
      </c>
      <c r="K64" s="8">
        <v>77</v>
      </c>
      <c r="L64" s="8">
        <v>61</v>
      </c>
      <c r="M64" s="8" t="s">
        <v>21</v>
      </c>
      <c r="N64" s="8" t="s">
        <v>21</v>
      </c>
      <c r="O64" s="8" t="s">
        <v>21</v>
      </c>
      <c r="P64" s="8" t="s">
        <v>21</v>
      </c>
      <c r="Q64" s="8" t="s">
        <v>21</v>
      </c>
      <c r="R64" s="8">
        <v>59</v>
      </c>
      <c r="S64" s="8">
        <v>34</v>
      </c>
      <c r="T64" s="8" t="s">
        <v>21</v>
      </c>
      <c r="U64" s="10">
        <v>523</v>
      </c>
      <c r="V64" s="9">
        <f>RANK(U64,$U$2:$U$255)</f>
        <v>130</v>
      </c>
      <c r="W64" s="9">
        <f>V64-E64</f>
        <v>32</v>
      </c>
    </row>
    <row r="65" s="12" customFormat="1" spans="1:23">
      <c r="A65" s="8" t="s">
        <v>24</v>
      </c>
      <c r="B65" s="8" t="s">
        <v>88</v>
      </c>
      <c r="C65" s="8">
        <v>450.25</v>
      </c>
      <c r="D65" s="8">
        <v>427.25</v>
      </c>
      <c r="E65" s="9">
        <f>RANK(C65,$C$2:$C$255)</f>
        <v>135</v>
      </c>
      <c r="F65" s="8">
        <v>250.25</v>
      </c>
      <c r="G65" s="8">
        <v>105.5</v>
      </c>
      <c r="H65" s="8">
        <v>71</v>
      </c>
      <c r="I65" s="8">
        <v>73.75</v>
      </c>
      <c r="J65" s="8">
        <v>41</v>
      </c>
      <c r="K65" s="8">
        <v>75</v>
      </c>
      <c r="L65" s="8">
        <v>57</v>
      </c>
      <c r="M65" s="8">
        <v>84</v>
      </c>
      <c r="N65" s="8">
        <v>79</v>
      </c>
      <c r="O65" s="8" t="s">
        <v>21</v>
      </c>
      <c r="P65" s="8" t="s">
        <v>21</v>
      </c>
      <c r="Q65" s="8" t="s">
        <v>21</v>
      </c>
      <c r="R65" s="8" t="s">
        <v>21</v>
      </c>
      <c r="S65" s="8" t="s">
        <v>21</v>
      </c>
      <c r="T65" s="8" t="s">
        <v>21</v>
      </c>
      <c r="U65" s="10">
        <v>510</v>
      </c>
      <c r="V65" s="9">
        <f>RANK(U65,$U$2:$U$255)</f>
        <v>167</v>
      </c>
      <c r="W65" s="9">
        <f>V65-E65</f>
        <v>32</v>
      </c>
    </row>
    <row r="66" s="12" customFormat="1" spans="1:23">
      <c r="A66" s="8" t="s">
        <v>24</v>
      </c>
      <c r="B66" s="8" t="s">
        <v>89</v>
      </c>
      <c r="C66" s="8">
        <v>413.88</v>
      </c>
      <c r="D66" s="8">
        <v>392.88</v>
      </c>
      <c r="E66" s="9">
        <f>RANK(C66,$C$2:$C$255)</f>
        <v>188</v>
      </c>
      <c r="F66" s="8">
        <v>236.88</v>
      </c>
      <c r="G66" s="8">
        <v>98.5</v>
      </c>
      <c r="H66" s="8">
        <v>69</v>
      </c>
      <c r="I66" s="8">
        <v>69.38</v>
      </c>
      <c r="J66" s="8">
        <v>41</v>
      </c>
      <c r="K66" s="8">
        <v>70</v>
      </c>
      <c r="L66" s="8">
        <v>50</v>
      </c>
      <c r="M66" s="8">
        <v>66</v>
      </c>
      <c r="N66" s="8">
        <v>65</v>
      </c>
      <c r="O66" s="8" t="s">
        <v>21</v>
      </c>
      <c r="P66" s="8" t="s">
        <v>21</v>
      </c>
      <c r="Q66" s="8" t="s">
        <v>21</v>
      </c>
      <c r="R66" s="8" t="s">
        <v>21</v>
      </c>
      <c r="S66" s="8" t="s">
        <v>21</v>
      </c>
      <c r="T66" s="8" t="s">
        <v>21</v>
      </c>
      <c r="U66" s="10">
        <v>490</v>
      </c>
      <c r="V66" s="9">
        <f>RANK(U66,$U$2:$U$255)</f>
        <v>220</v>
      </c>
      <c r="W66" s="9">
        <f>V66-E66</f>
        <v>32</v>
      </c>
    </row>
    <row r="67" s="12" customFormat="1" spans="1:23">
      <c r="A67" s="8" t="s">
        <v>22</v>
      </c>
      <c r="B67" s="8" t="s">
        <v>90</v>
      </c>
      <c r="C67" s="8">
        <v>498.32</v>
      </c>
      <c r="D67" s="8">
        <v>463.32</v>
      </c>
      <c r="E67" s="9">
        <f>RANK(C67,$C$2:$C$255)</f>
        <v>54</v>
      </c>
      <c r="F67" s="8">
        <v>303.32</v>
      </c>
      <c r="G67" s="8">
        <v>122.5</v>
      </c>
      <c r="H67" s="8">
        <v>73</v>
      </c>
      <c r="I67" s="8">
        <v>107.82</v>
      </c>
      <c r="J67" s="8">
        <v>56</v>
      </c>
      <c r="K67" s="8">
        <v>87</v>
      </c>
      <c r="L67" s="8">
        <v>75</v>
      </c>
      <c r="M67" s="8" t="s">
        <v>21</v>
      </c>
      <c r="N67" s="8" t="s">
        <v>21</v>
      </c>
      <c r="O67" s="8" t="s">
        <v>21</v>
      </c>
      <c r="P67" s="8" t="s">
        <v>21</v>
      </c>
      <c r="Q67" s="8" t="s">
        <v>21</v>
      </c>
      <c r="R67" s="8">
        <v>52</v>
      </c>
      <c r="S67" s="8">
        <v>29</v>
      </c>
      <c r="T67" s="8" t="s">
        <v>21</v>
      </c>
      <c r="U67" s="10">
        <v>527</v>
      </c>
      <c r="V67" s="9">
        <f>RANK(U67,$U$2:$U$255)</f>
        <v>85</v>
      </c>
      <c r="W67" s="9">
        <f>V67-E67</f>
        <v>31</v>
      </c>
    </row>
    <row r="68" s="12" customFormat="1" spans="1:23">
      <c r="A68" s="8" t="s">
        <v>19</v>
      </c>
      <c r="B68" s="8" t="s">
        <v>91</v>
      </c>
      <c r="C68" s="8">
        <v>567.44</v>
      </c>
      <c r="D68" s="8">
        <v>552.44</v>
      </c>
      <c r="E68" s="9">
        <f>RANK(C68,$C$2:$C$255)</f>
        <v>8</v>
      </c>
      <c r="F68" s="8">
        <v>312.44</v>
      </c>
      <c r="G68" s="8">
        <v>114</v>
      </c>
      <c r="H68" s="8">
        <v>95</v>
      </c>
      <c r="I68" s="8">
        <v>103.44</v>
      </c>
      <c r="J68" s="8">
        <v>64</v>
      </c>
      <c r="K68" s="8">
        <v>98</v>
      </c>
      <c r="L68" s="8">
        <v>89</v>
      </c>
      <c r="M68" s="8">
        <v>93</v>
      </c>
      <c r="N68" s="8">
        <v>87</v>
      </c>
      <c r="O68" s="8" t="s">
        <v>21</v>
      </c>
      <c r="P68" s="8" t="s">
        <v>21</v>
      </c>
      <c r="Q68" s="8" t="s">
        <v>21</v>
      </c>
      <c r="R68" s="8" t="s">
        <v>21</v>
      </c>
      <c r="S68" s="8" t="s">
        <v>21</v>
      </c>
      <c r="T68" s="8" t="s">
        <v>21</v>
      </c>
      <c r="U68" s="10">
        <v>532</v>
      </c>
      <c r="V68" s="9">
        <f>RANK(U68,$U$2:$U$255)</f>
        <v>38</v>
      </c>
      <c r="W68" s="9">
        <f>V68-E68</f>
        <v>30</v>
      </c>
    </row>
    <row r="69" s="12" customFormat="1" spans="1:23">
      <c r="A69" s="8" t="s">
        <v>26</v>
      </c>
      <c r="B69" s="8" t="s">
        <v>92</v>
      </c>
      <c r="C69" s="8">
        <v>448.69</v>
      </c>
      <c r="D69" s="8">
        <v>402.69</v>
      </c>
      <c r="E69" s="9">
        <f>RANK(C69,$C$2:$C$255)</f>
        <v>138</v>
      </c>
      <c r="F69" s="8">
        <v>262.69</v>
      </c>
      <c r="G69" s="8">
        <v>93.5</v>
      </c>
      <c r="H69" s="8">
        <v>82</v>
      </c>
      <c r="I69" s="8">
        <v>87.19</v>
      </c>
      <c r="J69" s="8">
        <v>46</v>
      </c>
      <c r="K69" s="8">
        <v>74</v>
      </c>
      <c r="L69" s="8">
        <v>56</v>
      </c>
      <c r="M69" s="8" t="s">
        <v>21</v>
      </c>
      <c r="N69" s="8" t="s">
        <v>21</v>
      </c>
      <c r="O69" s="8" t="s">
        <v>21</v>
      </c>
      <c r="P69" s="8" t="s">
        <v>21</v>
      </c>
      <c r="Q69" s="8" t="s">
        <v>21</v>
      </c>
      <c r="R69" s="8">
        <v>66</v>
      </c>
      <c r="S69" s="8">
        <v>38</v>
      </c>
      <c r="T69" s="8" t="s">
        <v>21</v>
      </c>
      <c r="U69" s="10">
        <v>510</v>
      </c>
      <c r="V69" s="9">
        <f>RANK(U69,$U$2:$U$255)</f>
        <v>167</v>
      </c>
      <c r="W69" s="9">
        <f>V69-E69</f>
        <v>29</v>
      </c>
    </row>
    <row r="70" s="12" customFormat="1" spans="1:23">
      <c r="A70" s="8" t="s">
        <v>22</v>
      </c>
      <c r="B70" s="8" t="s">
        <v>93</v>
      </c>
      <c r="C70" s="8">
        <v>512.57</v>
      </c>
      <c r="D70" s="8">
        <v>464.57</v>
      </c>
      <c r="E70" s="9">
        <f>RANK(C70,$C$2:$C$255)</f>
        <v>43</v>
      </c>
      <c r="F70" s="8">
        <v>318.57</v>
      </c>
      <c r="G70" s="8">
        <v>116.5</v>
      </c>
      <c r="H70" s="8">
        <v>88</v>
      </c>
      <c r="I70" s="8">
        <v>114.07</v>
      </c>
      <c r="J70" s="8">
        <v>48</v>
      </c>
      <c r="K70" s="8">
        <v>73</v>
      </c>
      <c r="L70" s="8">
        <v>55</v>
      </c>
      <c r="M70" s="8" t="s">
        <v>21</v>
      </c>
      <c r="N70" s="8" t="s">
        <v>21</v>
      </c>
      <c r="O70" s="8" t="s">
        <v>21</v>
      </c>
      <c r="P70" s="8" t="s">
        <v>21</v>
      </c>
      <c r="Q70" s="8" t="s">
        <v>21</v>
      </c>
      <c r="R70" s="8">
        <v>73</v>
      </c>
      <c r="S70" s="8">
        <v>43</v>
      </c>
      <c r="T70" s="8" t="s">
        <v>21</v>
      </c>
      <c r="U70" s="10">
        <v>529</v>
      </c>
      <c r="V70" s="9">
        <f>RANK(U70,$U$2:$U$255)</f>
        <v>71</v>
      </c>
      <c r="W70" s="9">
        <f>V70-E70</f>
        <v>28</v>
      </c>
    </row>
    <row r="71" s="12" customFormat="1" spans="1:23">
      <c r="A71" s="8" t="s">
        <v>22</v>
      </c>
      <c r="B71" s="8" t="s">
        <v>94</v>
      </c>
      <c r="C71" s="8">
        <v>487.88</v>
      </c>
      <c r="D71" s="8">
        <v>441.88</v>
      </c>
      <c r="E71" s="9">
        <f>RANK(C71,$C$2:$C$255)</f>
        <v>72</v>
      </c>
      <c r="F71" s="8">
        <v>299.88</v>
      </c>
      <c r="G71" s="8">
        <v>109.5</v>
      </c>
      <c r="H71" s="8">
        <v>86</v>
      </c>
      <c r="I71" s="8">
        <v>104.38</v>
      </c>
      <c r="J71" s="8">
        <v>57</v>
      </c>
      <c r="K71" s="8">
        <v>70</v>
      </c>
      <c r="L71" s="8">
        <v>50</v>
      </c>
      <c r="M71" s="8" t="s">
        <v>21</v>
      </c>
      <c r="N71" s="8" t="s">
        <v>21</v>
      </c>
      <c r="O71" s="8" t="s">
        <v>21</v>
      </c>
      <c r="P71" s="8" t="s">
        <v>21</v>
      </c>
      <c r="Q71" s="8" t="s">
        <v>21</v>
      </c>
      <c r="R71" s="8">
        <v>61</v>
      </c>
      <c r="S71" s="8">
        <v>35</v>
      </c>
      <c r="T71" s="8" t="s">
        <v>21</v>
      </c>
      <c r="U71" s="10">
        <v>526</v>
      </c>
      <c r="V71" s="9">
        <f>RANK(U71,$U$2:$U$255)</f>
        <v>100</v>
      </c>
      <c r="W71" s="9">
        <f>V71-E71</f>
        <v>28</v>
      </c>
    </row>
    <row r="72" s="12" customFormat="1" spans="1:23">
      <c r="A72" s="8" t="s">
        <v>26</v>
      </c>
      <c r="B72" s="8" t="s">
        <v>95</v>
      </c>
      <c r="C72" s="8">
        <v>450.44</v>
      </c>
      <c r="D72" s="8">
        <v>396.44</v>
      </c>
      <c r="E72" s="9">
        <f>RANK(C72,$C$2:$C$255)</f>
        <v>134</v>
      </c>
      <c r="F72" s="8">
        <v>283.44</v>
      </c>
      <c r="G72" s="8">
        <v>112.5</v>
      </c>
      <c r="H72" s="8">
        <v>70</v>
      </c>
      <c r="I72" s="8">
        <v>100.94</v>
      </c>
      <c r="J72" s="8">
        <v>36</v>
      </c>
      <c r="K72" s="8">
        <v>59</v>
      </c>
      <c r="L72" s="8">
        <v>35</v>
      </c>
      <c r="M72" s="8" t="s">
        <v>21</v>
      </c>
      <c r="N72" s="8" t="s">
        <v>21</v>
      </c>
      <c r="O72" s="8" t="s">
        <v>21</v>
      </c>
      <c r="P72" s="8" t="s">
        <v>21</v>
      </c>
      <c r="Q72" s="8" t="s">
        <v>21</v>
      </c>
      <c r="R72" s="8">
        <v>72</v>
      </c>
      <c r="S72" s="8">
        <v>42</v>
      </c>
      <c r="T72" s="8" t="s">
        <v>21</v>
      </c>
      <c r="U72" s="10">
        <v>511</v>
      </c>
      <c r="V72" s="9">
        <f>RANK(U72,$U$2:$U$255)</f>
        <v>162</v>
      </c>
      <c r="W72" s="9">
        <f>V72-E72</f>
        <v>28</v>
      </c>
    </row>
    <row r="73" s="12" customFormat="1" spans="1:23">
      <c r="A73" s="8" t="s">
        <v>24</v>
      </c>
      <c r="B73" s="8" t="s">
        <v>96</v>
      </c>
      <c r="C73" s="8">
        <v>414.57</v>
      </c>
      <c r="D73" s="8">
        <v>389.57</v>
      </c>
      <c r="E73" s="9">
        <f>RANK(C73,$C$2:$C$255)</f>
        <v>186</v>
      </c>
      <c r="F73" s="8">
        <v>227.57</v>
      </c>
      <c r="G73" s="8">
        <v>96</v>
      </c>
      <c r="H73" s="8">
        <v>70</v>
      </c>
      <c r="I73" s="8">
        <v>61.57</v>
      </c>
      <c r="J73" s="8">
        <v>47</v>
      </c>
      <c r="K73" s="8">
        <v>66</v>
      </c>
      <c r="L73" s="8">
        <v>44</v>
      </c>
      <c r="M73" s="8">
        <v>74</v>
      </c>
      <c r="N73" s="8">
        <v>71</v>
      </c>
      <c r="O73" s="8" t="s">
        <v>21</v>
      </c>
      <c r="P73" s="8" t="s">
        <v>21</v>
      </c>
      <c r="Q73" s="8" t="s">
        <v>21</v>
      </c>
      <c r="R73" s="8" t="s">
        <v>21</v>
      </c>
      <c r="S73" s="8" t="s">
        <v>21</v>
      </c>
      <c r="T73" s="8" t="s">
        <v>21</v>
      </c>
      <c r="U73" s="10">
        <v>492</v>
      </c>
      <c r="V73" s="9">
        <f>RANK(U73,$U$2:$U$255)</f>
        <v>214</v>
      </c>
      <c r="W73" s="9">
        <f>V73-E73</f>
        <v>28</v>
      </c>
    </row>
    <row r="74" s="12" customFormat="1" spans="1:23">
      <c r="A74" s="8" t="s">
        <v>22</v>
      </c>
      <c r="B74" s="8" t="s">
        <v>97</v>
      </c>
      <c r="C74" s="8">
        <v>477.57</v>
      </c>
      <c r="D74" s="8">
        <v>426.57</v>
      </c>
      <c r="E74" s="9">
        <f>RANK(C74,$C$2:$C$255)</f>
        <v>83</v>
      </c>
      <c r="F74" s="8">
        <v>295.57</v>
      </c>
      <c r="G74" s="8">
        <v>108.5</v>
      </c>
      <c r="H74" s="8">
        <v>83</v>
      </c>
      <c r="I74" s="8">
        <v>104.07</v>
      </c>
      <c r="J74" s="8">
        <v>43</v>
      </c>
      <c r="K74" s="8">
        <v>68</v>
      </c>
      <c r="L74" s="8">
        <v>47</v>
      </c>
      <c r="M74" s="8" t="s">
        <v>21</v>
      </c>
      <c r="N74" s="8" t="s">
        <v>21</v>
      </c>
      <c r="O74" s="8" t="s">
        <v>21</v>
      </c>
      <c r="P74" s="8" t="s">
        <v>21</v>
      </c>
      <c r="Q74" s="8" t="s">
        <v>21</v>
      </c>
      <c r="R74" s="8">
        <v>71</v>
      </c>
      <c r="S74" s="8">
        <v>41</v>
      </c>
      <c r="T74" s="8" t="s">
        <v>21</v>
      </c>
      <c r="U74" s="10">
        <v>525</v>
      </c>
      <c r="V74" s="9">
        <f>RANK(U74,$U$2:$U$255)</f>
        <v>109</v>
      </c>
      <c r="W74" s="9">
        <f>V74-E74</f>
        <v>26</v>
      </c>
    </row>
    <row r="75" s="12" customFormat="1" spans="1:23">
      <c r="A75" s="8" t="s">
        <v>19</v>
      </c>
      <c r="B75" s="8" t="s">
        <v>98</v>
      </c>
      <c r="C75" s="8">
        <v>542.44</v>
      </c>
      <c r="D75" s="8">
        <v>524.44</v>
      </c>
      <c r="E75" s="9">
        <f>RANK(C75,$C$2:$C$255)</f>
        <v>21</v>
      </c>
      <c r="F75" s="8">
        <v>302.44</v>
      </c>
      <c r="G75" s="8">
        <v>113</v>
      </c>
      <c r="H75" s="8">
        <v>86</v>
      </c>
      <c r="I75" s="8">
        <v>103.44</v>
      </c>
      <c r="J75" s="8">
        <v>73</v>
      </c>
      <c r="K75" s="8">
        <v>85</v>
      </c>
      <c r="L75" s="8">
        <v>72</v>
      </c>
      <c r="M75" s="8">
        <v>82</v>
      </c>
      <c r="N75" s="8">
        <v>77</v>
      </c>
      <c r="O75" s="8" t="s">
        <v>21</v>
      </c>
      <c r="P75" s="8" t="s">
        <v>21</v>
      </c>
      <c r="Q75" s="8" t="s">
        <v>21</v>
      </c>
      <c r="R75" s="8" t="s">
        <v>21</v>
      </c>
      <c r="S75" s="8" t="s">
        <v>21</v>
      </c>
      <c r="T75" s="8" t="s">
        <v>21</v>
      </c>
      <c r="U75" s="10">
        <v>531</v>
      </c>
      <c r="V75" s="9">
        <f>RANK(U75,$U$2:$U$255)</f>
        <v>47</v>
      </c>
      <c r="W75" s="9">
        <f>V75-E75</f>
        <v>26</v>
      </c>
    </row>
    <row r="76" s="12" customFormat="1" spans="1:23">
      <c r="A76" s="8" t="s">
        <v>19</v>
      </c>
      <c r="B76" s="8" t="s">
        <v>99</v>
      </c>
      <c r="C76" s="8">
        <v>496.82</v>
      </c>
      <c r="D76" s="8">
        <v>471.82</v>
      </c>
      <c r="E76" s="9">
        <f>RANK(C76,$C$2:$C$255)</f>
        <v>59</v>
      </c>
      <c r="F76" s="8">
        <v>277.82</v>
      </c>
      <c r="G76" s="8">
        <v>105.5</v>
      </c>
      <c r="H76" s="8">
        <v>72</v>
      </c>
      <c r="I76" s="8">
        <v>100.32</v>
      </c>
      <c r="J76" s="8">
        <v>59</v>
      </c>
      <c r="K76" s="8">
        <v>72</v>
      </c>
      <c r="L76" s="8">
        <v>53</v>
      </c>
      <c r="M76" s="8">
        <v>88</v>
      </c>
      <c r="N76" s="8">
        <v>82</v>
      </c>
      <c r="O76" s="8" t="s">
        <v>21</v>
      </c>
      <c r="P76" s="8" t="s">
        <v>21</v>
      </c>
      <c r="Q76" s="8" t="s">
        <v>21</v>
      </c>
      <c r="R76" s="8" t="s">
        <v>21</v>
      </c>
      <c r="S76" s="8" t="s">
        <v>21</v>
      </c>
      <c r="T76" s="8" t="s">
        <v>21</v>
      </c>
      <c r="U76" s="10">
        <v>527</v>
      </c>
      <c r="V76" s="9">
        <f>RANK(U76,$U$2:$U$255)</f>
        <v>85</v>
      </c>
      <c r="W76" s="9">
        <f>V76-E76</f>
        <v>26</v>
      </c>
    </row>
    <row r="77" s="12" customFormat="1" spans="1:23">
      <c r="A77" s="8" t="s">
        <v>22</v>
      </c>
      <c r="B77" s="8" t="s">
        <v>100</v>
      </c>
      <c r="C77" s="8">
        <v>541.38</v>
      </c>
      <c r="D77" s="8">
        <v>498.38</v>
      </c>
      <c r="E77" s="9">
        <f>RANK(C77,$C$2:$C$255)</f>
        <v>23</v>
      </c>
      <c r="F77" s="8">
        <v>305.38</v>
      </c>
      <c r="G77" s="8">
        <v>106.5</v>
      </c>
      <c r="H77" s="8">
        <v>92</v>
      </c>
      <c r="I77" s="8">
        <v>106.88</v>
      </c>
      <c r="J77" s="8">
        <v>76</v>
      </c>
      <c r="K77" s="8">
        <v>82</v>
      </c>
      <c r="L77" s="8">
        <v>69</v>
      </c>
      <c r="M77" s="8" t="s">
        <v>21</v>
      </c>
      <c r="N77" s="8" t="s">
        <v>21</v>
      </c>
      <c r="O77" s="8" t="s">
        <v>21</v>
      </c>
      <c r="P77" s="8" t="s">
        <v>21</v>
      </c>
      <c r="Q77" s="8" t="s">
        <v>21</v>
      </c>
      <c r="R77" s="8">
        <v>78</v>
      </c>
      <c r="S77" s="8">
        <v>48</v>
      </c>
      <c r="T77" s="8" t="s">
        <v>21</v>
      </c>
      <c r="U77" s="10">
        <v>531</v>
      </c>
      <c r="V77" s="9">
        <f>RANK(U77,$U$2:$U$255)</f>
        <v>47</v>
      </c>
      <c r="W77" s="9">
        <f>V77-E77</f>
        <v>24</v>
      </c>
    </row>
    <row r="78" s="12" customFormat="1" spans="1:23">
      <c r="A78" s="8" t="s">
        <v>22</v>
      </c>
      <c r="B78" s="8" t="s">
        <v>101</v>
      </c>
      <c r="C78" s="8">
        <v>485.25</v>
      </c>
      <c r="D78" s="8">
        <v>435.25</v>
      </c>
      <c r="E78" s="9">
        <f>RANK(C78,$C$2:$C$255)</f>
        <v>76</v>
      </c>
      <c r="F78" s="8">
        <v>288.25</v>
      </c>
      <c r="G78" s="8">
        <v>106.5</v>
      </c>
      <c r="H78" s="8">
        <v>78</v>
      </c>
      <c r="I78" s="8">
        <v>103.75</v>
      </c>
      <c r="J78" s="8">
        <v>44</v>
      </c>
      <c r="K78" s="8">
        <v>70</v>
      </c>
      <c r="L78" s="8">
        <v>50</v>
      </c>
      <c r="M78" s="8" t="s">
        <v>21</v>
      </c>
      <c r="N78" s="8" t="s">
        <v>21</v>
      </c>
      <c r="O78" s="8" t="s">
        <v>21</v>
      </c>
      <c r="P78" s="8" t="s">
        <v>21</v>
      </c>
      <c r="Q78" s="8" t="s">
        <v>21</v>
      </c>
      <c r="R78" s="8">
        <v>83</v>
      </c>
      <c r="S78" s="8">
        <v>53</v>
      </c>
      <c r="T78" s="8" t="s">
        <v>21</v>
      </c>
      <c r="U78" s="10">
        <v>526</v>
      </c>
      <c r="V78" s="9">
        <f>RANK(U78,$U$2:$U$255)</f>
        <v>100</v>
      </c>
      <c r="W78" s="9">
        <f>V78-E78</f>
        <v>24</v>
      </c>
    </row>
    <row r="79" s="12" customFormat="1" spans="1:23">
      <c r="A79" s="8" t="s">
        <v>37</v>
      </c>
      <c r="B79" s="8" t="s">
        <v>102</v>
      </c>
      <c r="C79" s="8">
        <v>444</v>
      </c>
      <c r="D79" s="8">
        <v>427</v>
      </c>
      <c r="E79" s="9">
        <f>RANK(C79,$C$2:$C$255)</f>
        <v>144</v>
      </c>
      <c r="F79" s="8">
        <v>257</v>
      </c>
      <c r="G79" s="8">
        <v>101.5</v>
      </c>
      <c r="H79" s="8">
        <v>73</v>
      </c>
      <c r="I79" s="8">
        <v>82.5</v>
      </c>
      <c r="J79" s="8">
        <v>47</v>
      </c>
      <c r="K79" s="8">
        <v>73</v>
      </c>
      <c r="L79" s="8">
        <v>55</v>
      </c>
      <c r="M79" s="8" t="s">
        <v>21</v>
      </c>
      <c r="N79" s="8" t="s">
        <v>21</v>
      </c>
      <c r="O79" s="8">
        <v>67</v>
      </c>
      <c r="P79" s="8">
        <v>68</v>
      </c>
      <c r="Q79" s="8" t="s">
        <v>21</v>
      </c>
      <c r="R79" s="8" t="s">
        <v>21</v>
      </c>
      <c r="S79" s="8" t="s">
        <v>21</v>
      </c>
      <c r="T79" s="8" t="s">
        <v>21</v>
      </c>
      <c r="U79" s="10">
        <v>510</v>
      </c>
      <c r="V79" s="9">
        <f>RANK(U79,$U$2:$U$255)</f>
        <v>167</v>
      </c>
      <c r="W79" s="9">
        <f>V79-E79</f>
        <v>23</v>
      </c>
    </row>
    <row r="80" s="12" customFormat="1" spans="1:23">
      <c r="A80" s="8" t="s">
        <v>26</v>
      </c>
      <c r="B80" s="8" t="s">
        <v>103</v>
      </c>
      <c r="C80" s="8">
        <v>414.38</v>
      </c>
      <c r="D80" s="8">
        <v>367.38</v>
      </c>
      <c r="E80" s="9">
        <f>RANK(C80,$C$2:$C$255)</f>
        <v>187</v>
      </c>
      <c r="F80" s="8">
        <v>254.38</v>
      </c>
      <c r="G80" s="8">
        <v>107.5</v>
      </c>
      <c r="H80" s="8">
        <v>55</v>
      </c>
      <c r="I80" s="8">
        <v>91.88</v>
      </c>
      <c r="J80" s="8">
        <v>36</v>
      </c>
      <c r="K80" s="8">
        <v>65</v>
      </c>
      <c r="L80" s="8">
        <v>43</v>
      </c>
      <c r="M80" s="8" t="s">
        <v>21</v>
      </c>
      <c r="N80" s="8" t="s">
        <v>21</v>
      </c>
      <c r="O80" s="8" t="s">
        <v>21</v>
      </c>
      <c r="P80" s="8" t="s">
        <v>21</v>
      </c>
      <c r="Q80" s="8" t="s">
        <v>21</v>
      </c>
      <c r="R80" s="8">
        <v>59</v>
      </c>
      <c r="S80" s="8">
        <v>34</v>
      </c>
      <c r="T80" s="8" t="s">
        <v>21</v>
      </c>
      <c r="U80" s="10">
        <v>496</v>
      </c>
      <c r="V80" s="9">
        <f>RANK(U80,$U$2:$U$255)</f>
        <v>208</v>
      </c>
      <c r="W80" s="9">
        <f>V80-E80</f>
        <v>21</v>
      </c>
    </row>
    <row r="81" s="12" customFormat="1" spans="1:23">
      <c r="A81" s="8" t="s">
        <v>19</v>
      </c>
      <c r="B81" s="8" t="s">
        <v>104</v>
      </c>
      <c r="C81" s="8">
        <v>558.57</v>
      </c>
      <c r="D81" s="8">
        <v>543.57</v>
      </c>
      <c r="E81" s="9">
        <f>RANK(C81,$C$2:$C$255)</f>
        <v>12</v>
      </c>
      <c r="F81" s="8">
        <v>311.57</v>
      </c>
      <c r="G81" s="8">
        <v>108.5</v>
      </c>
      <c r="H81" s="8">
        <v>99</v>
      </c>
      <c r="I81" s="8">
        <v>104.07</v>
      </c>
      <c r="J81" s="8">
        <v>84</v>
      </c>
      <c r="K81" s="8">
        <v>88</v>
      </c>
      <c r="L81" s="8">
        <v>76</v>
      </c>
      <c r="M81" s="8">
        <v>75</v>
      </c>
      <c r="N81" s="8">
        <v>72</v>
      </c>
      <c r="O81" s="8" t="s">
        <v>21</v>
      </c>
      <c r="P81" s="8" t="s">
        <v>21</v>
      </c>
      <c r="Q81" s="8" t="s">
        <v>21</v>
      </c>
      <c r="R81" s="8" t="s">
        <v>21</v>
      </c>
      <c r="S81" s="8" t="s">
        <v>21</v>
      </c>
      <c r="T81" s="8" t="s">
        <v>21</v>
      </c>
      <c r="U81" s="10">
        <v>533</v>
      </c>
      <c r="V81" s="9">
        <f>RANK(U81,$U$2:$U$255)</f>
        <v>33</v>
      </c>
      <c r="W81" s="9">
        <f>V81-E81</f>
        <v>21</v>
      </c>
    </row>
    <row r="82" s="12" customFormat="1" spans="1:23">
      <c r="A82" s="8" t="s">
        <v>24</v>
      </c>
      <c r="B82" s="8" t="s">
        <v>105</v>
      </c>
      <c r="C82" s="8">
        <v>504</v>
      </c>
      <c r="D82" s="8">
        <v>478</v>
      </c>
      <c r="E82" s="9">
        <f>RANK(C82,$C$2:$C$255)</f>
        <v>50</v>
      </c>
      <c r="F82" s="8">
        <v>302</v>
      </c>
      <c r="G82" s="8">
        <v>108</v>
      </c>
      <c r="H82" s="8">
        <v>89</v>
      </c>
      <c r="I82" s="8">
        <v>105</v>
      </c>
      <c r="J82" s="8">
        <v>54</v>
      </c>
      <c r="K82" s="8">
        <v>66</v>
      </c>
      <c r="L82" s="8">
        <v>45</v>
      </c>
      <c r="M82" s="8">
        <v>82</v>
      </c>
      <c r="N82" s="8">
        <v>77</v>
      </c>
      <c r="O82" s="8" t="s">
        <v>21</v>
      </c>
      <c r="P82" s="8" t="s">
        <v>21</v>
      </c>
      <c r="Q82" s="8" t="s">
        <v>21</v>
      </c>
      <c r="R82" s="8" t="s">
        <v>21</v>
      </c>
      <c r="S82" s="8" t="s">
        <v>21</v>
      </c>
      <c r="T82" s="8" t="s">
        <v>21</v>
      </c>
      <c r="U82" s="10">
        <v>529</v>
      </c>
      <c r="V82" s="9">
        <f>RANK(U82,$U$2:$U$255)</f>
        <v>71</v>
      </c>
      <c r="W82" s="9">
        <f>V82-E82</f>
        <v>21</v>
      </c>
    </row>
    <row r="83" s="12" customFormat="1" spans="1:23">
      <c r="A83" s="8" t="s">
        <v>24</v>
      </c>
      <c r="B83" s="8" t="s">
        <v>106</v>
      </c>
      <c r="C83" s="8">
        <v>427.13</v>
      </c>
      <c r="D83" s="8">
        <v>398.13</v>
      </c>
      <c r="E83" s="9">
        <f>RANK(C83,$C$2:$C$255)</f>
        <v>165</v>
      </c>
      <c r="F83" s="8">
        <v>255.13</v>
      </c>
      <c r="G83" s="8">
        <v>108</v>
      </c>
      <c r="H83" s="8">
        <v>44</v>
      </c>
      <c r="I83" s="8">
        <v>103.13</v>
      </c>
      <c r="J83" s="8">
        <v>30</v>
      </c>
      <c r="K83" s="8">
        <v>58</v>
      </c>
      <c r="L83" s="8">
        <v>34</v>
      </c>
      <c r="M83" s="8">
        <v>84</v>
      </c>
      <c r="N83" s="8">
        <v>79</v>
      </c>
      <c r="O83" s="8" t="s">
        <v>21</v>
      </c>
      <c r="P83" s="8" t="s">
        <v>21</v>
      </c>
      <c r="Q83" s="8" t="s">
        <v>21</v>
      </c>
      <c r="R83" s="8" t="s">
        <v>21</v>
      </c>
      <c r="S83" s="8" t="s">
        <v>21</v>
      </c>
      <c r="T83" s="8" t="s">
        <v>21</v>
      </c>
      <c r="U83" s="10">
        <v>505</v>
      </c>
      <c r="V83" s="9">
        <f>RANK(U83,$U$2:$U$255)</f>
        <v>186</v>
      </c>
      <c r="W83" s="9">
        <f>V83-E83</f>
        <v>21</v>
      </c>
    </row>
    <row r="84" s="12" customFormat="1" spans="1:23">
      <c r="A84" s="8" t="s">
        <v>26</v>
      </c>
      <c r="B84" s="8" t="s">
        <v>107</v>
      </c>
      <c r="C84" s="8">
        <v>434.57</v>
      </c>
      <c r="D84" s="8">
        <v>386.57</v>
      </c>
      <c r="E84" s="9">
        <f>RANK(C84,$C$2:$C$255)</f>
        <v>158</v>
      </c>
      <c r="F84" s="8">
        <v>270.57</v>
      </c>
      <c r="G84" s="8">
        <v>100.5</v>
      </c>
      <c r="H84" s="8">
        <v>61</v>
      </c>
      <c r="I84" s="8">
        <v>109.07</v>
      </c>
      <c r="J84" s="8">
        <v>26</v>
      </c>
      <c r="K84" s="8">
        <v>72</v>
      </c>
      <c r="L84" s="8">
        <v>52</v>
      </c>
      <c r="M84" s="8" t="s">
        <v>21</v>
      </c>
      <c r="N84" s="8" t="s">
        <v>21</v>
      </c>
      <c r="O84" s="8" t="s">
        <v>21</v>
      </c>
      <c r="P84" s="8" t="s">
        <v>21</v>
      </c>
      <c r="Q84" s="8" t="s">
        <v>21</v>
      </c>
      <c r="R84" s="8">
        <v>66</v>
      </c>
      <c r="S84" s="8">
        <v>38</v>
      </c>
      <c r="T84" s="8" t="s">
        <v>21</v>
      </c>
      <c r="U84" s="10">
        <v>508</v>
      </c>
      <c r="V84" s="9">
        <f>RANK(U84,$U$2:$U$255)</f>
        <v>178</v>
      </c>
      <c r="W84" s="9">
        <f>V84-E84</f>
        <v>20</v>
      </c>
    </row>
    <row r="85" s="12" customFormat="1" spans="1:23">
      <c r="A85" s="8" t="s">
        <v>26</v>
      </c>
      <c r="B85" s="8" t="s">
        <v>108</v>
      </c>
      <c r="C85" s="8">
        <v>410</v>
      </c>
      <c r="D85" s="8">
        <v>359</v>
      </c>
      <c r="E85" s="9">
        <f>RANK(C85,$C$2:$C$255)</f>
        <v>194</v>
      </c>
      <c r="F85" s="8">
        <v>259</v>
      </c>
      <c r="G85" s="8">
        <v>102.5</v>
      </c>
      <c r="H85" s="8">
        <v>62</v>
      </c>
      <c r="I85" s="8" t="s">
        <v>21</v>
      </c>
      <c r="J85" s="8">
        <v>35</v>
      </c>
      <c r="K85" s="8">
        <v>44</v>
      </c>
      <c r="L85" s="8">
        <v>23</v>
      </c>
      <c r="M85" s="8" t="s">
        <v>21</v>
      </c>
      <c r="N85" s="8" t="s">
        <v>21</v>
      </c>
      <c r="O85" s="8" t="s">
        <v>21</v>
      </c>
      <c r="P85" s="8" t="s">
        <v>21</v>
      </c>
      <c r="Q85" s="8" t="s">
        <v>21</v>
      </c>
      <c r="R85" s="8">
        <v>72</v>
      </c>
      <c r="S85" s="8">
        <v>42</v>
      </c>
      <c r="T85" s="8">
        <v>94.5</v>
      </c>
      <c r="U85" s="10">
        <v>492</v>
      </c>
      <c r="V85" s="9">
        <f>RANK(U85,$U$2:$U$255)</f>
        <v>214</v>
      </c>
      <c r="W85" s="9">
        <f>V85-E85</f>
        <v>20</v>
      </c>
    </row>
    <row r="86" s="12" customFormat="1" spans="1:23">
      <c r="A86" s="8" t="s">
        <v>24</v>
      </c>
      <c r="B86" s="8" t="s">
        <v>109</v>
      </c>
      <c r="C86" s="8">
        <v>451.19</v>
      </c>
      <c r="D86" s="8">
        <v>428.19</v>
      </c>
      <c r="E86" s="9">
        <f>RANK(C86,$C$2:$C$255)</f>
        <v>132</v>
      </c>
      <c r="F86" s="8">
        <v>279.19</v>
      </c>
      <c r="G86" s="8">
        <v>103.5</v>
      </c>
      <c r="H86" s="8">
        <v>96</v>
      </c>
      <c r="I86" s="8">
        <v>79.69</v>
      </c>
      <c r="J86" s="8">
        <v>40</v>
      </c>
      <c r="K86" s="8">
        <v>65</v>
      </c>
      <c r="L86" s="8">
        <v>43</v>
      </c>
      <c r="M86" s="8">
        <v>67</v>
      </c>
      <c r="N86" s="8">
        <v>66</v>
      </c>
      <c r="O86" s="8" t="s">
        <v>21</v>
      </c>
      <c r="P86" s="8" t="s">
        <v>21</v>
      </c>
      <c r="Q86" s="8" t="s">
        <v>21</v>
      </c>
      <c r="R86" s="8" t="s">
        <v>21</v>
      </c>
      <c r="S86" s="8" t="s">
        <v>21</v>
      </c>
      <c r="T86" s="8" t="s">
        <v>21</v>
      </c>
      <c r="U86" s="10">
        <v>514</v>
      </c>
      <c r="V86" s="9">
        <f>RANK(U86,$U$2:$U$255)</f>
        <v>152</v>
      </c>
      <c r="W86" s="9">
        <f>V86-E86</f>
        <v>20</v>
      </c>
    </row>
    <row r="87" s="12" customFormat="1" spans="1:23">
      <c r="A87" s="8" t="s">
        <v>24</v>
      </c>
      <c r="B87" s="8" t="s">
        <v>110</v>
      </c>
      <c r="C87" s="8">
        <v>385.32</v>
      </c>
      <c r="D87" s="8">
        <v>362.32</v>
      </c>
      <c r="E87" s="9">
        <f>RANK(C87,$C$2:$C$255)</f>
        <v>218</v>
      </c>
      <c r="F87" s="8">
        <v>214.32</v>
      </c>
      <c r="G87" s="8">
        <v>96.5</v>
      </c>
      <c r="H87" s="8">
        <v>55</v>
      </c>
      <c r="I87" s="8">
        <v>62.82</v>
      </c>
      <c r="J87" s="8">
        <v>42</v>
      </c>
      <c r="K87" s="8">
        <v>63</v>
      </c>
      <c r="L87" s="8">
        <v>41</v>
      </c>
      <c r="M87" s="8">
        <v>66</v>
      </c>
      <c r="N87" s="8">
        <v>65</v>
      </c>
      <c r="O87" s="8" t="s">
        <v>21</v>
      </c>
      <c r="P87" s="8" t="s">
        <v>21</v>
      </c>
      <c r="Q87" s="8" t="s">
        <v>21</v>
      </c>
      <c r="R87" s="8" t="s">
        <v>21</v>
      </c>
      <c r="S87" s="8" t="s">
        <v>21</v>
      </c>
      <c r="T87" s="8" t="s">
        <v>21</v>
      </c>
      <c r="U87" s="10">
        <v>474</v>
      </c>
      <c r="V87" s="9">
        <f>RANK(U87,$U$2:$U$255)</f>
        <v>237</v>
      </c>
      <c r="W87" s="9">
        <f>V87-E87</f>
        <v>19</v>
      </c>
    </row>
    <row r="88" s="12" customFormat="1" spans="1:23">
      <c r="A88" s="8" t="s">
        <v>26</v>
      </c>
      <c r="B88" s="8" t="s">
        <v>111</v>
      </c>
      <c r="C88" s="8">
        <v>386.32</v>
      </c>
      <c r="D88" s="8">
        <v>337.32</v>
      </c>
      <c r="E88" s="9">
        <f>RANK(C88,$C$2:$C$255)</f>
        <v>217</v>
      </c>
      <c r="F88" s="8">
        <v>238.32</v>
      </c>
      <c r="G88" s="8">
        <v>106</v>
      </c>
      <c r="H88" s="8">
        <v>57</v>
      </c>
      <c r="I88" s="8">
        <v>75.32</v>
      </c>
      <c r="J88" s="8">
        <v>31</v>
      </c>
      <c r="K88" s="8">
        <v>59</v>
      </c>
      <c r="L88" s="8">
        <v>35</v>
      </c>
      <c r="M88" s="8" t="s">
        <v>21</v>
      </c>
      <c r="N88" s="8" t="s">
        <v>21</v>
      </c>
      <c r="O88" s="8" t="s">
        <v>21</v>
      </c>
      <c r="P88" s="8" t="s">
        <v>21</v>
      </c>
      <c r="Q88" s="8" t="s">
        <v>21</v>
      </c>
      <c r="R88" s="8">
        <v>58</v>
      </c>
      <c r="S88" s="8">
        <v>33</v>
      </c>
      <c r="T88" s="8" t="s">
        <v>21</v>
      </c>
      <c r="U88" s="10">
        <v>478</v>
      </c>
      <c r="V88" s="9">
        <f>RANK(U88,$U$2:$U$255)</f>
        <v>235</v>
      </c>
      <c r="W88" s="9">
        <f>V88-E88</f>
        <v>18</v>
      </c>
    </row>
    <row r="89" s="12" customFormat="1" spans="1:23">
      <c r="A89" s="8" t="s">
        <v>24</v>
      </c>
      <c r="B89" s="8" t="s">
        <v>112</v>
      </c>
      <c r="C89" s="8">
        <v>433.57</v>
      </c>
      <c r="D89" s="8">
        <v>415.57</v>
      </c>
      <c r="E89" s="9">
        <f>RANK(C89,$C$2:$C$255)</f>
        <v>160</v>
      </c>
      <c r="F89" s="8">
        <v>265.57</v>
      </c>
      <c r="G89" s="8">
        <v>110.5</v>
      </c>
      <c r="H89" s="8">
        <v>51</v>
      </c>
      <c r="I89" s="8">
        <v>104.07</v>
      </c>
      <c r="J89" s="8">
        <v>35</v>
      </c>
      <c r="K89" s="8">
        <v>73</v>
      </c>
      <c r="L89" s="8">
        <v>54</v>
      </c>
      <c r="M89" s="8">
        <v>60</v>
      </c>
      <c r="N89" s="8">
        <v>61</v>
      </c>
      <c r="O89" s="8" t="s">
        <v>21</v>
      </c>
      <c r="P89" s="8" t="s">
        <v>21</v>
      </c>
      <c r="Q89" s="8" t="s">
        <v>21</v>
      </c>
      <c r="R89" s="8" t="s">
        <v>21</v>
      </c>
      <c r="S89" s="8" t="s">
        <v>21</v>
      </c>
      <c r="T89" s="8" t="s">
        <v>21</v>
      </c>
      <c r="U89" s="10">
        <v>508</v>
      </c>
      <c r="V89" s="9">
        <f>RANK(U89,$U$2:$U$255)</f>
        <v>178</v>
      </c>
      <c r="W89" s="9">
        <f>V89-E89</f>
        <v>18</v>
      </c>
    </row>
    <row r="90" s="12" customFormat="1" spans="1:23">
      <c r="A90" s="8" t="s">
        <v>24</v>
      </c>
      <c r="B90" s="8" t="s">
        <v>113</v>
      </c>
      <c r="C90" s="8">
        <v>427.07</v>
      </c>
      <c r="D90" s="8">
        <v>400.07</v>
      </c>
      <c r="E90" s="9">
        <f>RANK(C90,$C$2:$C$255)</f>
        <v>166</v>
      </c>
      <c r="F90" s="8">
        <v>265.07</v>
      </c>
      <c r="G90" s="8">
        <v>110</v>
      </c>
      <c r="H90" s="8">
        <v>51</v>
      </c>
      <c r="I90" s="8">
        <v>104.07</v>
      </c>
      <c r="J90" s="8">
        <v>31</v>
      </c>
      <c r="K90" s="8">
        <v>50</v>
      </c>
      <c r="L90" s="8">
        <v>28</v>
      </c>
      <c r="M90" s="8">
        <v>81</v>
      </c>
      <c r="N90" s="8">
        <v>76</v>
      </c>
      <c r="O90" s="8" t="s">
        <v>21</v>
      </c>
      <c r="P90" s="8" t="s">
        <v>21</v>
      </c>
      <c r="Q90" s="8" t="s">
        <v>21</v>
      </c>
      <c r="R90" s="8" t="s">
        <v>21</v>
      </c>
      <c r="S90" s="8" t="s">
        <v>21</v>
      </c>
      <c r="T90" s="8" t="s">
        <v>21</v>
      </c>
      <c r="U90" s="10">
        <v>507</v>
      </c>
      <c r="V90" s="9">
        <f>RANK(U90,$U$2:$U$255)</f>
        <v>182</v>
      </c>
      <c r="W90" s="9">
        <f>V90-E90</f>
        <v>16</v>
      </c>
    </row>
    <row r="91" s="12" customFormat="1" spans="1:23">
      <c r="A91" s="8" t="s">
        <v>37</v>
      </c>
      <c r="B91" s="8" t="s">
        <v>114</v>
      </c>
      <c r="C91" s="8">
        <v>593.5</v>
      </c>
      <c r="D91" s="8">
        <v>573.5</v>
      </c>
      <c r="E91" s="9">
        <f>RANK(C91,$C$2:$C$255)</f>
        <v>2</v>
      </c>
      <c r="F91" s="8">
        <v>328.5</v>
      </c>
      <c r="G91" s="8">
        <v>118.5</v>
      </c>
      <c r="H91" s="8">
        <v>100</v>
      </c>
      <c r="I91" s="8">
        <v>110</v>
      </c>
      <c r="J91" s="8">
        <v>73</v>
      </c>
      <c r="K91" s="8">
        <v>92</v>
      </c>
      <c r="L91" s="8">
        <v>82</v>
      </c>
      <c r="M91" s="8" t="s">
        <v>21</v>
      </c>
      <c r="N91" s="8" t="s">
        <v>21</v>
      </c>
      <c r="O91" s="8">
        <v>100</v>
      </c>
      <c r="P91" s="8">
        <v>90</v>
      </c>
      <c r="Q91" s="8" t="s">
        <v>21</v>
      </c>
      <c r="R91" s="8" t="s">
        <v>21</v>
      </c>
      <c r="S91" s="8" t="s">
        <v>21</v>
      </c>
      <c r="T91" s="8" t="s">
        <v>21</v>
      </c>
      <c r="U91" s="10">
        <v>535</v>
      </c>
      <c r="V91" s="9">
        <f>RANK(U91,$U$2:$U$255)</f>
        <v>18</v>
      </c>
      <c r="W91" s="9">
        <f>V91-E91</f>
        <v>16</v>
      </c>
    </row>
    <row r="92" s="12" customFormat="1" spans="1:23">
      <c r="A92" s="8" t="s">
        <v>24</v>
      </c>
      <c r="B92" s="8" t="s">
        <v>115</v>
      </c>
      <c r="C92" s="8">
        <v>413.75</v>
      </c>
      <c r="D92" s="8">
        <v>386.75</v>
      </c>
      <c r="E92" s="9">
        <f>RANK(C92,$C$2:$C$255)</f>
        <v>190</v>
      </c>
      <c r="F92" s="8">
        <v>237.75</v>
      </c>
      <c r="G92" s="8">
        <v>121</v>
      </c>
      <c r="H92" s="8">
        <v>53</v>
      </c>
      <c r="I92" s="8">
        <v>63.75</v>
      </c>
      <c r="J92" s="8">
        <v>30</v>
      </c>
      <c r="K92" s="8">
        <v>65</v>
      </c>
      <c r="L92" s="8">
        <v>43</v>
      </c>
      <c r="M92" s="8">
        <v>81</v>
      </c>
      <c r="N92" s="8">
        <v>76</v>
      </c>
      <c r="O92" s="8" t="s">
        <v>21</v>
      </c>
      <c r="P92" s="8" t="s">
        <v>21</v>
      </c>
      <c r="Q92" s="8" t="s">
        <v>21</v>
      </c>
      <c r="R92" s="8" t="s">
        <v>21</v>
      </c>
      <c r="S92" s="8" t="s">
        <v>21</v>
      </c>
      <c r="T92" s="8" t="s">
        <v>21</v>
      </c>
      <c r="U92" s="10">
        <v>498</v>
      </c>
      <c r="V92" s="9">
        <f>RANK(U92,$U$2:$U$255)</f>
        <v>205</v>
      </c>
      <c r="W92" s="9">
        <f>V92-E92</f>
        <v>15</v>
      </c>
    </row>
    <row r="93" s="12" customFormat="1" spans="1:23">
      <c r="A93" s="8" t="s">
        <v>24</v>
      </c>
      <c r="B93" s="8" t="s">
        <v>116</v>
      </c>
      <c r="C93" s="8">
        <v>415.82</v>
      </c>
      <c r="D93" s="8">
        <v>392.82</v>
      </c>
      <c r="E93" s="9">
        <f>RANK(C93,$C$2:$C$255)</f>
        <v>184</v>
      </c>
      <c r="F93" s="8">
        <v>233.82</v>
      </c>
      <c r="G93" s="8">
        <v>91.5</v>
      </c>
      <c r="H93" s="8">
        <v>67</v>
      </c>
      <c r="I93" s="8">
        <v>75.32</v>
      </c>
      <c r="J93" s="8">
        <v>39</v>
      </c>
      <c r="K93" s="8">
        <v>69</v>
      </c>
      <c r="L93" s="8">
        <v>49</v>
      </c>
      <c r="M93" s="8">
        <v>74</v>
      </c>
      <c r="N93" s="8">
        <v>71</v>
      </c>
      <c r="O93" s="8" t="s">
        <v>21</v>
      </c>
      <c r="P93" s="8" t="s">
        <v>21</v>
      </c>
      <c r="Q93" s="8" t="s">
        <v>21</v>
      </c>
      <c r="R93" s="8" t="s">
        <v>21</v>
      </c>
      <c r="S93" s="8" t="s">
        <v>21</v>
      </c>
      <c r="T93" s="8" t="s">
        <v>21</v>
      </c>
      <c r="U93" s="10">
        <v>502</v>
      </c>
      <c r="V93" s="9">
        <f>RANK(U93,$U$2:$U$255)</f>
        <v>198</v>
      </c>
      <c r="W93" s="9">
        <f>V93-E93</f>
        <v>14</v>
      </c>
    </row>
    <row r="94" s="12" customFormat="1" spans="1:23">
      <c r="A94" s="8" t="s">
        <v>22</v>
      </c>
      <c r="B94" s="8" t="s">
        <v>117</v>
      </c>
      <c r="C94" s="8">
        <v>522.82</v>
      </c>
      <c r="D94" s="8">
        <v>474.82</v>
      </c>
      <c r="E94" s="9">
        <f>RANK(C94,$C$2:$C$255)</f>
        <v>34</v>
      </c>
      <c r="F94" s="8">
        <v>312.82</v>
      </c>
      <c r="G94" s="8">
        <v>119</v>
      </c>
      <c r="H94" s="8">
        <v>71</v>
      </c>
      <c r="I94" s="8">
        <v>122.82</v>
      </c>
      <c r="J94" s="8">
        <v>58</v>
      </c>
      <c r="K94" s="8">
        <v>73</v>
      </c>
      <c r="L94" s="8">
        <v>55</v>
      </c>
      <c r="M94" s="8" t="s">
        <v>21</v>
      </c>
      <c r="N94" s="8" t="s">
        <v>21</v>
      </c>
      <c r="O94" s="8" t="s">
        <v>21</v>
      </c>
      <c r="P94" s="8" t="s">
        <v>21</v>
      </c>
      <c r="Q94" s="8" t="s">
        <v>21</v>
      </c>
      <c r="R94" s="8">
        <v>79</v>
      </c>
      <c r="S94" s="8">
        <v>49</v>
      </c>
      <c r="T94" s="8" t="s">
        <v>21</v>
      </c>
      <c r="U94" s="10">
        <v>531</v>
      </c>
      <c r="V94" s="9">
        <f>RANK(U94,$U$2:$U$255)</f>
        <v>47</v>
      </c>
      <c r="W94" s="9">
        <f>V94-E94</f>
        <v>13</v>
      </c>
    </row>
    <row r="95" s="12" customFormat="1" spans="1:23">
      <c r="A95" s="8" t="s">
        <v>19</v>
      </c>
      <c r="B95" s="8" t="s">
        <v>118</v>
      </c>
      <c r="C95" s="8">
        <v>562.94</v>
      </c>
      <c r="D95" s="8">
        <v>547.94</v>
      </c>
      <c r="E95" s="9">
        <f>RANK(C95,$C$2:$C$255)</f>
        <v>10</v>
      </c>
      <c r="F95" s="8">
        <v>327.94</v>
      </c>
      <c r="G95" s="8">
        <v>111.5</v>
      </c>
      <c r="H95" s="8">
        <v>108</v>
      </c>
      <c r="I95" s="8">
        <v>108.44</v>
      </c>
      <c r="J95" s="8">
        <v>74</v>
      </c>
      <c r="K95" s="8">
        <v>86</v>
      </c>
      <c r="L95" s="8">
        <v>74</v>
      </c>
      <c r="M95" s="8">
        <v>75</v>
      </c>
      <c r="N95" s="8">
        <v>72</v>
      </c>
      <c r="O95" s="8" t="s">
        <v>21</v>
      </c>
      <c r="P95" s="8" t="s">
        <v>21</v>
      </c>
      <c r="Q95" s="8" t="s">
        <v>21</v>
      </c>
      <c r="R95" s="8" t="s">
        <v>21</v>
      </c>
      <c r="S95" s="8" t="s">
        <v>21</v>
      </c>
      <c r="T95" s="8" t="s">
        <v>21</v>
      </c>
      <c r="U95" s="10">
        <v>534</v>
      </c>
      <c r="V95" s="9">
        <f>RANK(U95,$U$2:$U$255)</f>
        <v>23</v>
      </c>
      <c r="W95" s="9">
        <f>V95-E95</f>
        <v>13</v>
      </c>
    </row>
    <row r="96" s="12" customFormat="1" spans="1:23">
      <c r="A96" s="8" t="s">
        <v>22</v>
      </c>
      <c r="B96" s="8" t="s">
        <v>119</v>
      </c>
      <c r="C96" s="8">
        <v>521.19</v>
      </c>
      <c r="D96" s="8">
        <v>480.19</v>
      </c>
      <c r="E96" s="9">
        <f>RANK(C96,$C$2:$C$255)</f>
        <v>35</v>
      </c>
      <c r="F96" s="8">
        <v>308.19</v>
      </c>
      <c r="G96" s="8">
        <v>101</v>
      </c>
      <c r="H96" s="8">
        <v>100</v>
      </c>
      <c r="I96" s="8">
        <v>107.19</v>
      </c>
      <c r="J96" s="8">
        <v>64</v>
      </c>
      <c r="K96" s="8">
        <v>84</v>
      </c>
      <c r="L96" s="8">
        <v>71</v>
      </c>
      <c r="M96" s="8" t="s">
        <v>21</v>
      </c>
      <c r="N96" s="8" t="s">
        <v>21</v>
      </c>
      <c r="O96" s="8" t="s">
        <v>21</v>
      </c>
      <c r="P96" s="8" t="s">
        <v>21</v>
      </c>
      <c r="Q96" s="8" t="s">
        <v>21</v>
      </c>
      <c r="R96" s="8">
        <v>65</v>
      </c>
      <c r="S96" s="8">
        <v>37</v>
      </c>
      <c r="T96" s="8" t="s">
        <v>21</v>
      </c>
      <c r="U96" s="10">
        <v>531</v>
      </c>
      <c r="V96" s="9">
        <f>RANK(U96,$U$2:$U$255)</f>
        <v>47</v>
      </c>
      <c r="W96" s="9">
        <f>V96-E96</f>
        <v>12</v>
      </c>
    </row>
    <row r="97" s="12" customFormat="1" spans="1:23">
      <c r="A97" s="8" t="s">
        <v>19</v>
      </c>
      <c r="B97" s="8" t="s">
        <v>120</v>
      </c>
      <c r="C97" s="8">
        <v>487.63</v>
      </c>
      <c r="D97" s="8">
        <v>479.63</v>
      </c>
      <c r="E97" s="9">
        <f>RANK(C97,$C$2:$C$255)</f>
        <v>73</v>
      </c>
      <c r="F97" s="8">
        <v>325.63</v>
      </c>
      <c r="G97" s="8">
        <v>124</v>
      </c>
      <c r="H97" s="8">
        <v>81</v>
      </c>
      <c r="I97" s="8">
        <v>120.63</v>
      </c>
      <c r="J97" s="8">
        <v>45</v>
      </c>
      <c r="K97" s="8">
        <v>72</v>
      </c>
      <c r="L97" s="8">
        <v>53</v>
      </c>
      <c r="M97" s="8">
        <v>45</v>
      </c>
      <c r="N97" s="8">
        <v>56</v>
      </c>
      <c r="O97" s="8" t="s">
        <v>21</v>
      </c>
      <c r="P97" s="8" t="s">
        <v>21</v>
      </c>
      <c r="Q97" s="8" t="s">
        <v>21</v>
      </c>
      <c r="R97" s="8" t="s">
        <v>21</v>
      </c>
      <c r="S97" s="8" t="s">
        <v>21</v>
      </c>
      <c r="T97" s="8" t="s">
        <v>21</v>
      </c>
      <c r="U97" s="10">
        <v>527</v>
      </c>
      <c r="V97" s="9">
        <f>RANK(U97,$U$2:$U$255)</f>
        <v>85</v>
      </c>
      <c r="W97" s="9">
        <f>V97-E97</f>
        <v>12</v>
      </c>
    </row>
    <row r="98" s="12" customFormat="1" spans="1:23">
      <c r="A98" s="8" t="s">
        <v>24</v>
      </c>
      <c r="B98" s="8" t="s">
        <v>121</v>
      </c>
      <c r="C98" s="8">
        <v>391.19</v>
      </c>
      <c r="D98" s="8">
        <v>366.19</v>
      </c>
      <c r="E98" s="9">
        <f>RANK(C98,$C$2:$C$255)</f>
        <v>213</v>
      </c>
      <c r="F98" s="8">
        <v>235.19</v>
      </c>
      <c r="G98" s="8">
        <v>114</v>
      </c>
      <c r="H98" s="8">
        <v>54</v>
      </c>
      <c r="I98" s="8">
        <v>67.19</v>
      </c>
      <c r="J98" s="8">
        <v>31</v>
      </c>
      <c r="K98" s="8">
        <v>55</v>
      </c>
      <c r="L98" s="8">
        <v>32</v>
      </c>
      <c r="M98" s="8">
        <v>70</v>
      </c>
      <c r="N98" s="8">
        <v>68</v>
      </c>
      <c r="O98" s="8" t="s">
        <v>21</v>
      </c>
      <c r="P98" s="8" t="s">
        <v>21</v>
      </c>
      <c r="Q98" s="8" t="s">
        <v>21</v>
      </c>
      <c r="R98" s="8" t="s">
        <v>21</v>
      </c>
      <c r="S98" s="8" t="s">
        <v>21</v>
      </c>
      <c r="T98" s="8" t="s">
        <v>21</v>
      </c>
      <c r="U98" s="10">
        <v>487</v>
      </c>
      <c r="V98" s="9">
        <f>RANK(U98,$U$2:$U$255)</f>
        <v>225</v>
      </c>
      <c r="W98" s="9">
        <f>V98-E98</f>
        <v>12</v>
      </c>
    </row>
    <row r="99" s="12" customFormat="1" spans="1:23">
      <c r="A99" s="8" t="s">
        <v>26</v>
      </c>
      <c r="B99" s="8" t="s">
        <v>122</v>
      </c>
      <c r="C99" s="8">
        <v>458.5</v>
      </c>
      <c r="D99" s="8">
        <v>409.5</v>
      </c>
      <c r="E99" s="9">
        <f>RANK(C99,$C$2:$C$255)</f>
        <v>119</v>
      </c>
      <c r="F99" s="8">
        <v>273.5</v>
      </c>
      <c r="G99" s="8">
        <v>114</v>
      </c>
      <c r="H99" s="8">
        <v>72</v>
      </c>
      <c r="I99" s="8">
        <v>87.5</v>
      </c>
      <c r="J99" s="8">
        <v>35</v>
      </c>
      <c r="K99" s="8">
        <v>72</v>
      </c>
      <c r="L99" s="8">
        <v>53</v>
      </c>
      <c r="M99" s="8" t="s">
        <v>21</v>
      </c>
      <c r="N99" s="8" t="s">
        <v>21</v>
      </c>
      <c r="O99" s="8" t="s">
        <v>21</v>
      </c>
      <c r="P99" s="8" t="s">
        <v>21</v>
      </c>
      <c r="Q99" s="8" t="s">
        <v>21</v>
      </c>
      <c r="R99" s="8">
        <v>78</v>
      </c>
      <c r="S99" s="8">
        <v>48</v>
      </c>
      <c r="T99" s="8" t="s">
        <v>21</v>
      </c>
      <c r="U99" s="10">
        <v>523</v>
      </c>
      <c r="V99" s="9">
        <f>RANK(U99,$U$2:$U$255)</f>
        <v>130</v>
      </c>
      <c r="W99" s="9">
        <f>V99-E99</f>
        <v>11</v>
      </c>
    </row>
    <row r="100" s="12" customFormat="1" spans="1:23">
      <c r="A100" s="8" t="s">
        <v>26</v>
      </c>
      <c r="B100" s="8" t="s">
        <v>123</v>
      </c>
      <c r="C100" s="8">
        <v>376.88</v>
      </c>
      <c r="D100" s="8">
        <v>325.88</v>
      </c>
      <c r="E100" s="9">
        <f>RANK(C100,$C$2:$C$255)</f>
        <v>223</v>
      </c>
      <c r="F100" s="8">
        <v>225.88</v>
      </c>
      <c r="G100" s="8">
        <v>108</v>
      </c>
      <c r="H100" s="8">
        <v>61</v>
      </c>
      <c r="I100" s="8">
        <v>56.88</v>
      </c>
      <c r="J100" s="8">
        <v>35</v>
      </c>
      <c r="K100" s="8">
        <v>45</v>
      </c>
      <c r="L100" s="8">
        <v>24</v>
      </c>
      <c r="M100" s="8" t="s">
        <v>21</v>
      </c>
      <c r="N100" s="8" t="s">
        <v>21</v>
      </c>
      <c r="O100" s="8" t="s">
        <v>21</v>
      </c>
      <c r="P100" s="8" t="s">
        <v>21</v>
      </c>
      <c r="Q100" s="8" t="s">
        <v>21</v>
      </c>
      <c r="R100" s="8">
        <v>71</v>
      </c>
      <c r="S100" s="8">
        <v>41</v>
      </c>
      <c r="T100" s="8" t="s">
        <v>21</v>
      </c>
      <c r="U100" s="10">
        <v>482</v>
      </c>
      <c r="V100" s="9">
        <f>RANK(U100,$U$2:$U$255)</f>
        <v>233</v>
      </c>
      <c r="W100" s="9">
        <f>V100-E100</f>
        <v>10</v>
      </c>
    </row>
    <row r="101" s="12" customFormat="1" spans="1:23">
      <c r="A101" s="8" t="s">
        <v>19</v>
      </c>
      <c r="B101" s="8" t="s">
        <v>124</v>
      </c>
      <c r="C101" s="8">
        <v>494.94</v>
      </c>
      <c r="D101" s="8">
        <v>476.94</v>
      </c>
      <c r="E101" s="9">
        <f>RANK(C101,$C$2:$C$255)</f>
        <v>62</v>
      </c>
      <c r="F101" s="8">
        <v>292.94</v>
      </c>
      <c r="G101" s="8">
        <v>111</v>
      </c>
      <c r="H101" s="8">
        <v>71</v>
      </c>
      <c r="I101" s="8">
        <v>110.94</v>
      </c>
      <c r="J101" s="8">
        <v>55</v>
      </c>
      <c r="K101" s="8">
        <v>77</v>
      </c>
      <c r="L101" s="8">
        <v>61</v>
      </c>
      <c r="M101" s="8">
        <v>70</v>
      </c>
      <c r="N101" s="8">
        <v>68</v>
      </c>
      <c r="O101" s="8" t="s">
        <v>21</v>
      </c>
      <c r="P101" s="8" t="s">
        <v>21</v>
      </c>
      <c r="Q101" s="8" t="s">
        <v>21</v>
      </c>
      <c r="R101" s="8" t="s">
        <v>21</v>
      </c>
      <c r="S101" s="8" t="s">
        <v>21</v>
      </c>
      <c r="T101" s="8" t="s">
        <v>21</v>
      </c>
      <c r="U101" s="10">
        <v>529</v>
      </c>
      <c r="V101" s="9">
        <f>RANK(U101,$U$2:$U$255)</f>
        <v>71</v>
      </c>
      <c r="W101" s="9">
        <f>V101-E101</f>
        <v>9</v>
      </c>
    </row>
    <row r="102" s="12" customFormat="1" spans="1:23">
      <c r="A102" s="8" t="s">
        <v>26</v>
      </c>
      <c r="B102" s="8" t="s">
        <v>125</v>
      </c>
      <c r="C102" s="8">
        <v>451.25</v>
      </c>
      <c r="D102" s="8">
        <v>403.25</v>
      </c>
      <c r="E102" s="9">
        <f>RANK(C102,$C$2:$C$255)</f>
        <v>131</v>
      </c>
      <c r="F102" s="8">
        <v>268.25</v>
      </c>
      <c r="G102" s="8">
        <v>99</v>
      </c>
      <c r="H102" s="8">
        <v>78</v>
      </c>
      <c r="I102" s="8">
        <v>91.25</v>
      </c>
      <c r="J102" s="8">
        <v>42</v>
      </c>
      <c r="K102" s="8">
        <v>73</v>
      </c>
      <c r="L102" s="8">
        <v>54</v>
      </c>
      <c r="M102" s="8" t="s">
        <v>21</v>
      </c>
      <c r="N102" s="8" t="s">
        <v>21</v>
      </c>
      <c r="O102" s="8" t="s">
        <v>21</v>
      </c>
      <c r="P102" s="8" t="s">
        <v>21</v>
      </c>
      <c r="Q102" s="8" t="s">
        <v>21</v>
      </c>
      <c r="R102" s="8">
        <v>68</v>
      </c>
      <c r="S102" s="8">
        <v>39</v>
      </c>
      <c r="T102" s="8" t="s">
        <v>21</v>
      </c>
      <c r="U102" s="10">
        <v>521</v>
      </c>
      <c r="V102" s="9">
        <f>RANK(U102,$U$2:$U$255)</f>
        <v>138</v>
      </c>
      <c r="W102" s="9">
        <f>V102-E102</f>
        <v>7</v>
      </c>
    </row>
    <row r="103" s="12" customFormat="1" spans="1:23">
      <c r="A103" s="8" t="s">
        <v>26</v>
      </c>
      <c r="B103" s="8" t="s">
        <v>126</v>
      </c>
      <c r="C103" s="8">
        <v>406</v>
      </c>
      <c r="D103" s="8">
        <v>355</v>
      </c>
      <c r="E103" s="9">
        <f>RANK(C103,$C$2:$C$255)</f>
        <v>201</v>
      </c>
      <c r="F103" s="8">
        <v>262</v>
      </c>
      <c r="G103" s="8">
        <v>109</v>
      </c>
      <c r="H103" s="8">
        <v>56</v>
      </c>
      <c r="I103" s="8" t="s">
        <v>21</v>
      </c>
      <c r="J103" s="8">
        <v>23</v>
      </c>
      <c r="K103" s="8">
        <v>45</v>
      </c>
      <c r="L103" s="8">
        <v>24</v>
      </c>
      <c r="M103" s="8" t="s">
        <v>21</v>
      </c>
      <c r="N103" s="8" t="s">
        <v>21</v>
      </c>
      <c r="O103" s="8" t="s">
        <v>21</v>
      </c>
      <c r="P103" s="8" t="s">
        <v>21</v>
      </c>
      <c r="Q103" s="8" t="s">
        <v>21</v>
      </c>
      <c r="R103" s="8">
        <v>76</v>
      </c>
      <c r="S103" s="8">
        <v>46</v>
      </c>
      <c r="T103" s="8">
        <v>97</v>
      </c>
      <c r="U103" s="10">
        <v>496</v>
      </c>
      <c r="V103" s="9">
        <f>RANK(U103,$U$2:$U$255)</f>
        <v>208</v>
      </c>
      <c r="W103" s="9">
        <f>V103-E103</f>
        <v>7</v>
      </c>
    </row>
    <row r="104" s="12" customFormat="1" spans="1:23">
      <c r="A104" s="8" t="s">
        <v>24</v>
      </c>
      <c r="B104" s="8" t="s">
        <v>127</v>
      </c>
      <c r="C104" s="8">
        <v>515.5</v>
      </c>
      <c r="D104" s="8">
        <v>495.5</v>
      </c>
      <c r="E104" s="9">
        <f>RANK(C104,$C$2:$C$255)</f>
        <v>40</v>
      </c>
      <c r="F104" s="8">
        <v>305.5</v>
      </c>
      <c r="G104" s="8">
        <v>111</v>
      </c>
      <c r="H104" s="8">
        <v>71</v>
      </c>
      <c r="I104" s="8" t="s">
        <v>21</v>
      </c>
      <c r="J104" s="8">
        <v>35</v>
      </c>
      <c r="K104" s="8">
        <v>81</v>
      </c>
      <c r="L104" s="8">
        <v>67</v>
      </c>
      <c r="M104" s="8">
        <v>94</v>
      </c>
      <c r="N104" s="8">
        <v>88</v>
      </c>
      <c r="O104" s="8" t="s">
        <v>21</v>
      </c>
      <c r="P104" s="8" t="s">
        <v>21</v>
      </c>
      <c r="Q104" s="8" t="s">
        <v>21</v>
      </c>
      <c r="R104" s="8" t="s">
        <v>21</v>
      </c>
      <c r="S104" s="8" t="s">
        <v>21</v>
      </c>
      <c r="T104" s="8">
        <v>123.5</v>
      </c>
      <c r="U104" s="10">
        <v>531</v>
      </c>
      <c r="V104" s="9">
        <f>RANK(U104,$U$2:$U$255)</f>
        <v>47</v>
      </c>
      <c r="W104" s="9">
        <f>V104-E104</f>
        <v>7</v>
      </c>
    </row>
    <row r="105" s="12" customFormat="1" spans="1:23">
      <c r="A105" s="8" t="s">
        <v>26</v>
      </c>
      <c r="B105" s="8" t="s">
        <v>128</v>
      </c>
      <c r="C105" s="8">
        <v>423.44</v>
      </c>
      <c r="D105" s="8">
        <v>378.44</v>
      </c>
      <c r="E105" s="9">
        <f>RANK(C105,$C$2:$C$255)</f>
        <v>176</v>
      </c>
      <c r="F105" s="8">
        <v>275.44</v>
      </c>
      <c r="G105" s="8">
        <v>94.5</v>
      </c>
      <c r="H105" s="8">
        <v>65</v>
      </c>
      <c r="I105" s="8">
        <v>115.94</v>
      </c>
      <c r="J105" s="8">
        <v>38</v>
      </c>
      <c r="K105" s="8">
        <v>60</v>
      </c>
      <c r="L105" s="8">
        <v>37</v>
      </c>
      <c r="M105" s="8" t="s">
        <v>21</v>
      </c>
      <c r="N105" s="8" t="s">
        <v>21</v>
      </c>
      <c r="O105" s="8" t="s">
        <v>21</v>
      </c>
      <c r="P105" s="8" t="s">
        <v>21</v>
      </c>
      <c r="Q105" s="8" t="s">
        <v>21</v>
      </c>
      <c r="R105" s="8">
        <v>50</v>
      </c>
      <c r="S105" s="8">
        <v>28</v>
      </c>
      <c r="T105" s="8" t="s">
        <v>21</v>
      </c>
      <c r="U105" s="10">
        <v>507</v>
      </c>
      <c r="V105" s="9">
        <f>RANK(U105,$U$2:$U$255)</f>
        <v>182</v>
      </c>
      <c r="W105" s="9">
        <f>V105-E105</f>
        <v>6</v>
      </c>
    </row>
    <row r="106" s="12" customFormat="1" spans="1:23">
      <c r="A106" s="8" t="s">
        <v>22</v>
      </c>
      <c r="B106" s="8" t="s">
        <v>129</v>
      </c>
      <c r="C106" s="8">
        <v>461.57</v>
      </c>
      <c r="D106" s="8">
        <v>409.57</v>
      </c>
      <c r="E106" s="9">
        <f>RANK(C106,$C$2:$C$255)</f>
        <v>113</v>
      </c>
      <c r="F106" s="8">
        <v>291.57</v>
      </c>
      <c r="G106" s="8">
        <v>105.5</v>
      </c>
      <c r="H106" s="8">
        <v>97</v>
      </c>
      <c r="I106" s="8">
        <v>89.07</v>
      </c>
      <c r="J106" s="8">
        <v>35</v>
      </c>
      <c r="K106" s="8">
        <v>64</v>
      </c>
      <c r="L106" s="8">
        <v>42</v>
      </c>
      <c r="M106" s="8" t="s">
        <v>21</v>
      </c>
      <c r="N106" s="8" t="s">
        <v>21</v>
      </c>
      <c r="O106" s="8" t="s">
        <v>21</v>
      </c>
      <c r="P106" s="8" t="s">
        <v>21</v>
      </c>
      <c r="Q106" s="8" t="s">
        <v>21</v>
      </c>
      <c r="R106" s="8">
        <v>71</v>
      </c>
      <c r="S106" s="8">
        <v>41</v>
      </c>
      <c r="T106" s="8" t="s">
        <v>21</v>
      </c>
      <c r="U106" s="10">
        <v>524</v>
      </c>
      <c r="V106" s="9">
        <f>RANK(U106,$U$2:$U$255)</f>
        <v>117</v>
      </c>
      <c r="W106" s="9">
        <f>V106-E106</f>
        <v>4</v>
      </c>
    </row>
    <row r="107" s="12" customFormat="1" spans="1:23">
      <c r="A107" s="8" t="s">
        <v>37</v>
      </c>
      <c r="B107" s="8" t="s">
        <v>130</v>
      </c>
      <c r="C107" s="8">
        <v>465.38</v>
      </c>
      <c r="D107" s="8">
        <v>448.38</v>
      </c>
      <c r="E107" s="9">
        <f>RANK(C107,$C$2:$C$255)</f>
        <v>105</v>
      </c>
      <c r="F107" s="8">
        <v>278.38</v>
      </c>
      <c r="G107" s="8">
        <v>99</v>
      </c>
      <c r="H107" s="8">
        <v>65</v>
      </c>
      <c r="I107" s="8">
        <v>114.38</v>
      </c>
      <c r="J107" s="8">
        <v>42</v>
      </c>
      <c r="K107" s="8">
        <v>74</v>
      </c>
      <c r="L107" s="8">
        <v>56</v>
      </c>
      <c r="M107" s="8" t="s">
        <v>21</v>
      </c>
      <c r="N107" s="8" t="s">
        <v>21</v>
      </c>
      <c r="O107" s="8">
        <v>71</v>
      </c>
      <c r="P107" s="8">
        <v>72</v>
      </c>
      <c r="Q107" s="8" t="s">
        <v>21</v>
      </c>
      <c r="R107" s="8" t="s">
        <v>21</v>
      </c>
      <c r="S107" s="8" t="s">
        <v>21</v>
      </c>
      <c r="T107" s="8" t="s">
        <v>21</v>
      </c>
      <c r="U107" s="10">
        <v>525</v>
      </c>
      <c r="V107" s="9">
        <f>RANK(U107,$U$2:$U$255)</f>
        <v>109</v>
      </c>
      <c r="W107" s="9">
        <f>V107-E107</f>
        <v>4</v>
      </c>
    </row>
    <row r="108" s="12" customFormat="1" spans="1:23">
      <c r="A108" s="8" t="s">
        <v>22</v>
      </c>
      <c r="B108" s="8" t="s">
        <v>131</v>
      </c>
      <c r="C108" s="8">
        <v>412.69</v>
      </c>
      <c r="D108" s="8">
        <v>372.69</v>
      </c>
      <c r="E108" s="9">
        <f>RANK(C108,$C$2:$C$255)</f>
        <v>191</v>
      </c>
      <c r="F108" s="8">
        <v>237.69</v>
      </c>
      <c r="G108" s="8">
        <v>104</v>
      </c>
      <c r="H108" s="8">
        <v>69</v>
      </c>
      <c r="I108" s="8">
        <v>64.69</v>
      </c>
      <c r="J108" s="8">
        <v>34</v>
      </c>
      <c r="K108" s="8">
        <v>80</v>
      </c>
      <c r="L108" s="8">
        <v>66</v>
      </c>
      <c r="M108" s="8" t="s">
        <v>21</v>
      </c>
      <c r="N108" s="8" t="s">
        <v>21</v>
      </c>
      <c r="O108" s="8" t="s">
        <v>21</v>
      </c>
      <c r="P108" s="8" t="s">
        <v>21</v>
      </c>
      <c r="Q108" s="8" t="s">
        <v>21</v>
      </c>
      <c r="R108" s="8">
        <v>61</v>
      </c>
      <c r="S108" s="8">
        <v>35</v>
      </c>
      <c r="T108" s="8" t="s">
        <v>21</v>
      </c>
      <c r="U108" s="10">
        <v>504</v>
      </c>
      <c r="V108" s="9">
        <f>RANK(U108,$U$2:$U$255)</f>
        <v>193</v>
      </c>
      <c r="W108" s="9">
        <f>V108-E108</f>
        <v>2</v>
      </c>
    </row>
    <row r="109" s="12" customFormat="1" spans="1:23">
      <c r="A109" s="8" t="s">
        <v>19</v>
      </c>
      <c r="B109" s="8" t="s">
        <v>132</v>
      </c>
      <c r="C109" s="8">
        <v>484.13</v>
      </c>
      <c r="D109" s="8">
        <v>468.13</v>
      </c>
      <c r="E109" s="9">
        <f>RANK(C109,$C$2:$C$255)</f>
        <v>78</v>
      </c>
      <c r="F109" s="8">
        <v>290.13</v>
      </c>
      <c r="G109" s="8">
        <v>106</v>
      </c>
      <c r="H109" s="8">
        <v>81</v>
      </c>
      <c r="I109" s="8">
        <v>103.13</v>
      </c>
      <c r="J109" s="8">
        <v>43</v>
      </c>
      <c r="K109" s="8">
        <v>80</v>
      </c>
      <c r="L109" s="8">
        <v>66</v>
      </c>
      <c r="M109" s="8">
        <v>71</v>
      </c>
      <c r="N109" s="8">
        <v>69</v>
      </c>
      <c r="O109" s="8" t="s">
        <v>21</v>
      </c>
      <c r="P109" s="8" t="s">
        <v>21</v>
      </c>
      <c r="Q109" s="8" t="s">
        <v>21</v>
      </c>
      <c r="R109" s="8" t="s">
        <v>21</v>
      </c>
      <c r="S109" s="8" t="s">
        <v>21</v>
      </c>
      <c r="T109" s="8" t="s">
        <v>21</v>
      </c>
      <c r="U109" s="10">
        <v>528</v>
      </c>
      <c r="V109" s="9">
        <f>RANK(U109,$U$2:$U$255)</f>
        <v>80</v>
      </c>
      <c r="W109" s="9">
        <f>V109-E109</f>
        <v>2</v>
      </c>
    </row>
    <row r="110" s="12" customFormat="1" spans="1:23">
      <c r="A110" s="8" t="s">
        <v>37</v>
      </c>
      <c r="B110" s="8" t="s">
        <v>133</v>
      </c>
      <c r="C110" s="8">
        <v>527.88</v>
      </c>
      <c r="D110" s="8">
        <v>517.88</v>
      </c>
      <c r="E110" s="9">
        <f>RANK(C110,$C$2:$C$255)</f>
        <v>32</v>
      </c>
      <c r="F110" s="8">
        <v>304.88</v>
      </c>
      <c r="G110" s="8">
        <v>100</v>
      </c>
      <c r="H110" s="8">
        <v>93</v>
      </c>
      <c r="I110" s="8">
        <v>111.88</v>
      </c>
      <c r="J110" s="8">
        <v>55</v>
      </c>
      <c r="K110" s="8">
        <v>91</v>
      </c>
      <c r="L110" s="8">
        <v>80</v>
      </c>
      <c r="M110" s="8" t="s">
        <v>21</v>
      </c>
      <c r="N110" s="8" t="s">
        <v>21</v>
      </c>
      <c r="O110" s="8">
        <v>77</v>
      </c>
      <c r="P110" s="8">
        <v>78</v>
      </c>
      <c r="Q110" s="8" t="s">
        <v>21</v>
      </c>
      <c r="R110" s="8" t="s">
        <v>21</v>
      </c>
      <c r="S110" s="8" t="s">
        <v>21</v>
      </c>
      <c r="T110" s="8" t="s">
        <v>21</v>
      </c>
      <c r="U110" s="10">
        <v>533</v>
      </c>
      <c r="V110" s="9">
        <f>RANK(U110,$U$2:$U$255)</f>
        <v>33</v>
      </c>
      <c r="W110" s="9">
        <f>V110-E110</f>
        <v>1</v>
      </c>
    </row>
    <row r="111" s="12" customFormat="1" spans="1:23">
      <c r="A111" s="8" t="s">
        <v>22</v>
      </c>
      <c r="B111" s="8" t="s">
        <v>134</v>
      </c>
      <c r="C111" s="8">
        <v>491.63</v>
      </c>
      <c r="D111" s="8">
        <v>446.63</v>
      </c>
      <c r="E111" s="9">
        <f>RANK(C111,$C$2:$C$255)</f>
        <v>67</v>
      </c>
      <c r="F111" s="8">
        <v>285.63</v>
      </c>
      <c r="G111" s="8">
        <v>111</v>
      </c>
      <c r="H111" s="8">
        <v>74</v>
      </c>
      <c r="I111" s="8">
        <v>100.63</v>
      </c>
      <c r="J111" s="8">
        <v>44</v>
      </c>
      <c r="K111" s="8">
        <v>78</v>
      </c>
      <c r="L111" s="8">
        <v>63</v>
      </c>
      <c r="M111" s="8" t="s">
        <v>21</v>
      </c>
      <c r="N111" s="8" t="s">
        <v>21</v>
      </c>
      <c r="O111" s="8" t="s">
        <v>21</v>
      </c>
      <c r="P111" s="8" t="s">
        <v>21</v>
      </c>
      <c r="Q111" s="8" t="s">
        <v>21</v>
      </c>
      <c r="R111" s="8">
        <v>84</v>
      </c>
      <c r="S111" s="8">
        <v>54</v>
      </c>
      <c r="T111" s="8" t="s">
        <v>21</v>
      </c>
      <c r="U111" s="10">
        <v>530</v>
      </c>
      <c r="V111" s="9">
        <f>RANK(U111,$U$2:$U$255)</f>
        <v>67</v>
      </c>
      <c r="W111" s="9">
        <f>V111-E111</f>
        <v>0</v>
      </c>
    </row>
    <row r="112" s="12" customFormat="1" spans="1:23">
      <c r="A112" s="8" t="s">
        <v>19</v>
      </c>
      <c r="B112" s="8" t="s">
        <v>135</v>
      </c>
      <c r="C112" s="8">
        <v>579.13</v>
      </c>
      <c r="D112" s="8">
        <v>562.13</v>
      </c>
      <c r="E112" s="9">
        <f>RANK(C112,$C$2:$C$255)</f>
        <v>4</v>
      </c>
      <c r="F112" s="8">
        <v>328.13</v>
      </c>
      <c r="G112" s="8">
        <v>122.5</v>
      </c>
      <c r="H112" s="8">
        <v>85</v>
      </c>
      <c r="I112" s="8">
        <v>120.63</v>
      </c>
      <c r="J112" s="8">
        <v>71</v>
      </c>
      <c r="K112" s="8">
        <v>89</v>
      </c>
      <c r="L112" s="8">
        <v>78</v>
      </c>
      <c r="M112" s="8">
        <v>91</v>
      </c>
      <c r="N112" s="8">
        <v>85</v>
      </c>
      <c r="O112" s="8" t="s">
        <v>21</v>
      </c>
      <c r="P112" s="8" t="s">
        <v>21</v>
      </c>
      <c r="Q112" s="8" t="s">
        <v>21</v>
      </c>
      <c r="R112" s="8" t="s">
        <v>21</v>
      </c>
      <c r="S112" s="8" t="s">
        <v>21</v>
      </c>
      <c r="T112" s="8" t="s">
        <v>21</v>
      </c>
      <c r="U112" s="10">
        <v>546</v>
      </c>
      <c r="V112" s="9">
        <f>RANK(U112,$U$2:$U$255)</f>
        <v>4</v>
      </c>
      <c r="W112" s="9">
        <f>V112-E112</f>
        <v>0</v>
      </c>
    </row>
    <row r="113" s="12" customFormat="1" spans="1:23">
      <c r="A113" s="8" t="s">
        <v>19</v>
      </c>
      <c r="B113" s="8" t="s">
        <v>136</v>
      </c>
      <c r="C113" s="8">
        <v>560.69</v>
      </c>
      <c r="D113" s="8">
        <v>544.69</v>
      </c>
      <c r="E113" s="9">
        <f>RANK(C113,$C$2:$C$255)</f>
        <v>11</v>
      </c>
      <c r="F113" s="8">
        <v>326.69</v>
      </c>
      <c r="G113" s="8">
        <v>117.5</v>
      </c>
      <c r="H113" s="8">
        <v>92</v>
      </c>
      <c r="I113" s="8">
        <v>117.19</v>
      </c>
      <c r="J113" s="8">
        <v>59</v>
      </c>
      <c r="K113" s="8">
        <v>89</v>
      </c>
      <c r="L113" s="8">
        <v>78</v>
      </c>
      <c r="M113" s="8">
        <v>86</v>
      </c>
      <c r="N113" s="8">
        <v>81</v>
      </c>
      <c r="O113" s="8" t="s">
        <v>21</v>
      </c>
      <c r="P113" s="8" t="s">
        <v>21</v>
      </c>
      <c r="Q113" s="8" t="s">
        <v>21</v>
      </c>
      <c r="R113" s="8" t="s">
        <v>21</v>
      </c>
      <c r="S113" s="8" t="s">
        <v>21</v>
      </c>
      <c r="T113" s="8" t="s">
        <v>21</v>
      </c>
      <c r="U113" s="10">
        <v>539</v>
      </c>
      <c r="V113" s="9">
        <f>RANK(U113,$U$2:$U$255)</f>
        <v>11</v>
      </c>
      <c r="W113" s="9">
        <f>V113-E113</f>
        <v>0</v>
      </c>
    </row>
    <row r="114" s="12" customFormat="1" spans="1:23">
      <c r="A114" s="8" t="s">
        <v>26</v>
      </c>
      <c r="B114" s="8" t="s">
        <v>137</v>
      </c>
      <c r="C114" s="8">
        <v>357</v>
      </c>
      <c r="D114" s="8">
        <v>315</v>
      </c>
      <c r="E114" s="9">
        <f>RANK(C114,$C$2:$C$255)</f>
        <v>231</v>
      </c>
      <c r="F114" s="8">
        <v>244</v>
      </c>
      <c r="G114" s="8">
        <v>101</v>
      </c>
      <c r="H114" s="8">
        <v>35</v>
      </c>
      <c r="I114" s="8" t="s">
        <v>21</v>
      </c>
      <c r="J114" s="8">
        <v>17</v>
      </c>
      <c r="K114" s="8">
        <v>30</v>
      </c>
      <c r="L114" s="8">
        <v>16</v>
      </c>
      <c r="M114" s="8" t="s">
        <v>21</v>
      </c>
      <c r="N114" s="8" t="s">
        <v>21</v>
      </c>
      <c r="O114" s="8" t="s">
        <v>21</v>
      </c>
      <c r="P114" s="8" t="s">
        <v>21</v>
      </c>
      <c r="Q114" s="8" t="s">
        <v>21</v>
      </c>
      <c r="R114" s="8">
        <v>66</v>
      </c>
      <c r="S114" s="8">
        <v>38</v>
      </c>
      <c r="T114" s="8">
        <v>108</v>
      </c>
      <c r="U114" s="10">
        <v>484</v>
      </c>
      <c r="V114" s="9">
        <f>RANK(U114,$U$2:$U$255)</f>
        <v>230</v>
      </c>
      <c r="W114" s="9">
        <f>V114-E114</f>
        <v>-1</v>
      </c>
    </row>
    <row r="115" s="12" customFormat="1" spans="1:23">
      <c r="A115" s="8" t="s">
        <v>19</v>
      </c>
      <c r="B115" s="8" t="s">
        <v>138</v>
      </c>
      <c r="C115" s="8">
        <v>516.63</v>
      </c>
      <c r="D115" s="8">
        <v>498.63</v>
      </c>
      <c r="E115" s="9">
        <f>RANK(C115,$C$2:$C$255)</f>
        <v>39</v>
      </c>
      <c r="F115" s="8">
        <v>289.63</v>
      </c>
      <c r="G115" s="8">
        <v>111.5</v>
      </c>
      <c r="H115" s="8">
        <v>90</v>
      </c>
      <c r="I115" s="8">
        <v>88.13</v>
      </c>
      <c r="J115" s="8">
        <v>79</v>
      </c>
      <c r="K115" s="8">
        <v>78</v>
      </c>
      <c r="L115" s="8">
        <v>62</v>
      </c>
      <c r="M115" s="8">
        <v>70</v>
      </c>
      <c r="N115" s="8">
        <v>68</v>
      </c>
      <c r="O115" s="8" t="s">
        <v>21</v>
      </c>
      <c r="P115" s="8" t="s">
        <v>21</v>
      </c>
      <c r="Q115" s="8" t="s">
        <v>21</v>
      </c>
      <c r="R115" s="8" t="s">
        <v>21</v>
      </c>
      <c r="S115" s="8" t="s">
        <v>21</v>
      </c>
      <c r="T115" s="8" t="s">
        <v>21</v>
      </c>
      <c r="U115" s="10">
        <v>532</v>
      </c>
      <c r="V115" s="9">
        <f>RANK(U115,$U$2:$U$255)</f>
        <v>38</v>
      </c>
      <c r="W115" s="9">
        <f>V115-E115</f>
        <v>-1</v>
      </c>
    </row>
    <row r="116" s="12" customFormat="1" spans="1:23">
      <c r="A116" s="8" t="s">
        <v>22</v>
      </c>
      <c r="B116" s="8" t="s">
        <v>139</v>
      </c>
      <c r="C116" s="8">
        <v>475.82</v>
      </c>
      <c r="D116" s="8">
        <v>428.82</v>
      </c>
      <c r="E116" s="9">
        <f>RANK(C116,$C$2:$C$255)</f>
        <v>87</v>
      </c>
      <c r="F116" s="8">
        <v>289.82</v>
      </c>
      <c r="G116" s="8">
        <v>120</v>
      </c>
      <c r="H116" s="8">
        <v>67</v>
      </c>
      <c r="I116" s="8">
        <v>102.82</v>
      </c>
      <c r="J116" s="8">
        <v>44</v>
      </c>
      <c r="K116" s="8">
        <v>74</v>
      </c>
      <c r="L116" s="8">
        <v>56</v>
      </c>
      <c r="M116" s="8" t="s">
        <v>21</v>
      </c>
      <c r="N116" s="8" t="s">
        <v>21</v>
      </c>
      <c r="O116" s="8" t="s">
        <v>21</v>
      </c>
      <c r="P116" s="8" t="s">
        <v>21</v>
      </c>
      <c r="Q116" s="8" t="s">
        <v>21</v>
      </c>
      <c r="R116" s="8">
        <v>68</v>
      </c>
      <c r="S116" s="8">
        <v>39</v>
      </c>
      <c r="T116" s="8" t="s">
        <v>21</v>
      </c>
      <c r="U116" s="10">
        <v>527</v>
      </c>
      <c r="V116" s="9">
        <f>RANK(U116,$U$2:$U$255)</f>
        <v>85</v>
      </c>
      <c r="W116" s="9">
        <f>V116-E116</f>
        <v>-2</v>
      </c>
    </row>
    <row r="117" s="12" customFormat="1" spans="1:23">
      <c r="A117" s="8" t="s">
        <v>26</v>
      </c>
      <c r="B117" s="8" t="s">
        <v>140</v>
      </c>
      <c r="C117" s="8">
        <v>423.63</v>
      </c>
      <c r="D117" s="8">
        <v>373.63</v>
      </c>
      <c r="E117" s="9">
        <f>RANK(C117,$C$2:$C$255)</f>
        <v>175</v>
      </c>
      <c r="F117" s="8">
        <v>231.63</v>
      </c>
      <c r="G117" s="8">
        <v>85</v>
      </c>
      <c r="H117" s="8">
        <v>56</v>
      </c>
      <c r="I117" s="8">
        <v>90.63</v>
      </c>
      <c r="J117" s="8">
        <v>46</v>
      </c>
      <c r="K117" s="8">
        <v>70</v>
      </c>
      <c r="L117" s="8">
        <v>50</v>
      </c>
      <c r="M117" s="8" t="s">
        <v>21</v>
      </c>
      <c r="N117" s="8" t="s">
        <v>21</v>
      </c>
      <c r="O117" s="8" t="s">
        <v>21</v>
      </c>
      <c r="P117" s="8" t="s">
        <v>21</v>
      </c>
      <c r="Q117" s="8" t="s">
        <v>21</v>
      </c>
      <c r="R117" s="8">
        <v>76</v>
      </c>
      <c r="S117" s="8">
        <v>46</v>
      </c>
      <c r="T117" s="8" t="s">
        <v>21</v>
      </c>
      <c r="U117" s="10">
        <v>509</v>
      </c>
      <c r="V117" s="9">
        <f>RANK(U117,$U$2:$U$255)</f>
        <v>173</v>
      </c>
      <c r="W117" s="9">
        <f>V117-E117</f>
        <v>-2</v>
      </c>
    </row>
    <row r="118" s="12" customFormat="1" spans="1:23">
      <c r="A118" s="8" t="s">
        <v>19</v>
      </c>
      <c r="B118" s="8" t="s">
        <v>141</v>
      </c>
      <c r="C118" s="8">
        <v>539.25</v>
      </c>
      <c r="D118" s="8">
        <v>525.25</v>
      </c>
      <c r="E118" s="9">
        <f>RANK(C118,$C$2:$C$255)</f>
        <v>25</v>
      </c>
      <c r="F118" s="8">
        <v>317.25</v>
      </c>
      <c r="G118" s="8">
        <v>105.5</v>
      </c>
      <c r="H118" s="8">
        <v>93</v>
      </c>
      <c r="I118" s="8">
        <v>118.75</v>
      </c>
      <c r="J118" s="8">
        <v>65</v>
      </c>
      <c r="K118" s="8">
        <v>87</v>
      </c>
      <c r="L118" s="8">
        <v>75</v>
      </c>
      <c r="M118" s="8">
        <v>70</v>
      </c>
      <c r="N118" s="8">
        <v>68</v>
      </c>
      <c r="O118" s="8" t="s">
        <v>21</v>
      </c>
      <c r="P118" s="8" t="s">
        <v>21</v>
      </c>
      <c r="Q118" s="8" t="s">
        <v>21</v>
      </c>
      <c r="R118" s="8" t="s">
        <v>21</v>
      </c>
      <c r="S118" s="8" t="s">
        <v>21</v>
      </c>
      <c r="T118" s="8" t="s">
        <v>21</v>
      </c>
      <c r="U118" s="10">
        <v>534</v>
      </c>
      <c r="V118" s="9">
        <f>RANK(U118,$U$2:$U$255)</f>
        <v>23</v>
      </c>
      <c r="W118" s="9">
        <f>V118-E118</f>
        <v>-2</v>
      </c>
    </row>
    <row r="119" s="12" customFormat="1" spans="1:23">
      <c r="A119" s="8" t="s">
        <v>26</v>
      </c>
      <c r="B119" s="8" t="s">
        <v>142</v>
      </c>
      <c r="C119" s="8">
        <v>354.25</v>
      </c>
      <c r="D119" s="8">
        <v>309.25</v>
      </c>
      <c r="E119" s="9">
        <f>RANK(C119,$C$2:$C$255)</f>
        <v>233</v>
      </c>
      <c r="F119" s="8">
        <v>213.25</v>
      </c>
      <c r="G119" s="8">
        <v>89</v>
      </c>
      <c r="H119" s="8">
        <v>58</v>
      </c>
      <c r="I119" s="8">
        <v>66.25</v>
      </c>
      <c r="J119" s="8">
        <v>37</v>
      </c>
      <c r="K119" s="8">
        <v>51</v>
      </c>
      <c r="L119" s="8">
        <v>29</v>
      </c>
      <c r="M119" s="8" t="s">
        <v>21</v>
      </c>
      <c r="N119" s="8" t="s">
        <v>21</v>
      </c>
      <c r="O119" s="8" t="s">
        <v>21</v>
      </c>
      <c r="P119" s="8" t="s">
        <v>21</v>
      </c>
      <c r="Q119" s="8" t="s">
        <v>21</v>
      </c>
      <c r="R119" s="8">
        <v>53</v>
      </c>
      <c r="S119" s="8">
        <v>30</v>
      </c>
      <c r="T119" s="8" t="s">
        <v>21</v>
      </c>
      <c r="U119" s="10">
        <v>484</v>
      </c>
      <c r="V119" s="9">
        <f>RANK(U119,$U$2:$U$255)</f>
        <v>230</v>
      </c>
      <c r="W119" s="9">
        <f>V119-E119</f>
        <v>-3</v>
      </c>
    </row>
    <row r="120" s="12" customFormat="1" spans="1:23">
      <c r="A120" s="8" t="s">
        <v>19</v>
      </c>
      <c r="B120" s="8" t="s">
        <v>143</v>
      </c>
      <c r="C120" s="8">
        <v>515.07</v>
      </c>
      <c r="D120" s="8">
        <v>489.07</v>
      </c>
      <c r="E120" s="9">
        <f>RANK(C120,$C$2:$C$255)</f>
        <v>41</v>
      </c>
      <c r="F120" s="8">
        <v>297.07</v>
      </c>
      <c r="G120" s="8">
        <v>104.5</v>
      </c>
      <c r="H120" s="8">
        <v>86</v>
      </c>
      <c r="I120" s="8">
        <v>106.57</v>
      </c>
      <c r="J120" s="8">
        <v>64</v>
      </c>
      <c r="K120" s="8">
        <v>69</v>
      </c>
      <c r="L120" s="8">
        <v>48</v>
      </c>
      <c r="M120" s="8">
        <v>85</v>
      </c>
      <c r="N120" s="8">
        <v>80</v>
      </c>
      <c r="O120" s="8" t="s">
        <v>21</v>
      </c>
      <c r="P120" s="8" t="s">
        <v>21</v>
      </c>
      <c r="Q120" s="8" t="s">
        <v>21</v>
      </c>
      <c r="R120" s="8" t="s">
        <v>21</v>
      </c>
      <c r="S120" s="8" t="s">
        <v>21</v>
      </c>
      <c r="T120" s="8" t="s">
        <v>21</v>
      </c>
      <c r="U120" s="10">
        <v>532</v>
      </c>
      <c r="V120" s="9">
        <f>RANK(U120,$U$2:$U$255)</f>
        <v>38</v>
      </c>
      <c r="W120" s="9">
        <f>V120-E120</f>
        <v>-3</v>
      </c>
    </row>
    <row r="121" s="12" customFormat="1" spans="1:23">
      <c r="A121" s="8" t="s">
        <v>37</v>
      </c>
      <c r="B121" s="8" t="s">
        <v>144</v>
      </c>
      <c r="C121" s="8">
        <v>575.75</v>
      </c>
      <c r="D121" s="8">
        <v>566.75</v>
      </c>
      <c r="E121" s="9">
        <f>RANK(C121,$C$2:$C$255)</f>
        <v>5</v>
      </c>
      <c r="F121" s="8">
        <v>343.75</v>
      </c>
      <c r="G121" s="8">
        <v>118.5</v>
      </c>
      <c r="H121" s="8">
        <v>94</v>
      </c>
      <c r="I121" s="8">
        <v>131.25</v>
      </c>
      <c r="J121" s="8">
        <v>64</v>
      </c>
      <c r="K121" s="8">
        <v>89</v>
      </c>
      <c r="L121" s="8">
        <v>78</v>
      </c>
      <c r="M121" s="8" t="s">
        <v>21</v>
      </c>
      <c r="N121" s="8" t="s">
        <v>21</v>
      </c>
      <c r="O121" s="8">
        <v>79</v>
      </c>
      <c r="P121" s="8">
        <v>81</v>
      </c>
      <c r="Q121" s="8" t="s">
        <v>21</v>
      </c>
      <c r="R121" s="8" t="s">
        <v>21</v>
      </c>
      <c r="S121" s="8" t="s">
        <v>21</v>
      </c>
      <c r="T121" s="8" t="s">
        <v>21</v>
      </c>
      <c r="U121" s="13">
        <v>550</v>
      </c>
      <c r="V121" s="9">
        <f>RANK(U121,$U$2:$U$255)</f>
        <v>2</v>
      </c>
      <c r="W121" s="9">
        <f>V121-E121</f>
        <v>-3</v>
      </c>
    </row>
    <row r="122" s="12" customFormat="1" spans="1:23">
      <c r="A122" s="8" t="s">
        <v>37</v>
      </c>
      <c r="B122" s="8" t="s">
        <v>145</v>
      </c>
      <c r="C122" s="8">
        <v>486.32</v>
      </c>
      <c r="D122" s="8">
        <v>475.32</v>
      </c>
      <c r="E122" s="9">
        <f>RANK(C122,$C$2:$C$255)</f>
        <v>74</v>
      </c>
      <c r="F122" s="8">
        <v>289.32</v>
      </c>
      <c r="G122" s="8">
        <v>103</v>
      </c>
      <c r="H122" s="8">
        <v>81</v>
      </c>
      <c r="I122" s="8">
        <v>105.32</v>
      </c>
      <c r="J122" s="8">
        <v>41</v>
      </c>
      <c r="K122" s="8">
        <v>85</v>
      </c>
      <c r="L122" s="8">
        <v>73</v>
      </c>
      <c r="M122" s="8" t="s">
        <v>21</v>
      </c>
      <c r="N122" s="8" t="s">
        <v>21</v>
      </c>
      <c r="O122" s="8">
        <v>71</v>
      </c>
      <c r="P122" s="8">
        <v>72</v>
      </c>
      <c r="Q122" s="8" t="s">
        <v>21</v>
      </c>
      <c r="R122" s="8" t="s">
        <v>21</v>
      </c>
      <c r="S122" s="8" t="s">
        <v>21</v>
      </c>
      <c r="T122" s="8" t="s">
        <v>21</v>
      </c>
      <c r="U122" s="13">
        <v>529</v>
      </c>
      <c r="V122" s="9">
        <f>RANK(U122,$U$2:$U$255)</f>
        <v>71</v>
      </c>
      <c r="W122" s="9">
        <f>V122-E122</f>
        <v>-3</v>
      </c>
    </row>
    <row r="123" s="12" customFormat="1" spans="1:23">
      <c r="A123" s="8" t="s">
        <v>22</v>
      </c>
      <c r="B123" s="8" t="s">
        <v>146</v>
      </c>
      <c r="C123" s="8">
        <v>542.19</v>
      </c>
      <c r="D123" s="8">
        <v>502.19</v>
      </c>
      <c r="E123" s="9">
        <f>RANK(C123,$C$2:$C$255)</f>
        <v>22</v>
      </c>
      <c r="F123" s="8">
        <v>316.19</v>
      </c>
      <c r="G123" s="8">
        <v>113</v>
      </c>
      <c r="H123" s="8">
        <v>86</v>
      </c>
      <c r="I123" s="8">
        <v>117.19</v>
      </c>
      <c r="J123" s="8">
        <v>50</v>
      </c>
      <c r="K123" s="8">
        <v>94</v>
      </c>
      <c r="L123" s="8">
        <v>84</v>
      </c>
      <c r="M123" s="8" t="s">
        <v>21</v>
      </c>
      <c r="N123" s="8" t="s">
        <v>21</v>
      </c>
      <c r="O123" s="8" t="s">
        <v>21</v>
      </c>
      <c r="P123" s="8" t="s">
        <v>21</v>
      </c>
      <c r="Q123" s="8" t="s">
        <v>21</v>
      </c>
      <c r="R123" s="8">
        <v>82</v>
      </c>
      <c r="S123" s="8">
        <v>52</v>
      </c>
      <c r="T123" s="8" t="s">
        <v>21</v>
      </c>
      <c r="U123" s="10">
        <v>535</v>
      </c>
      <c r="V123" s="9">
        <f>RANK(U123,$U$2:$U$255)</f>
        <v>18</v>
      </c>
      <c r="W123" s="9">
        <f>V123-E123</f>
        <v>-4</v>
      </c>
    </row>
    <row r="124" s="12" customFormat="1" spans="1:23">
      <c r="A124" s="8" t="s">
        <v>22</v>
      </c>
      <c r="B124" s="8" t="s">
        <v>147</v>
      </c>
      <c r="C124" s="8">
        <v>475.32</v>
      </c>
      <c r="D124" s="8">
        <v>430.32</v>
      </c>
      <c r="E124" s="9">
        <f>RANK(C124,$C$2:$C$255)</f>
        <v>89</v>
      </c>
      <c r="F124" s="8">
        <v>283.32</v>
      </c>
      <c r="G124" s="8">
        <v>99</v>
      </c>
      <c r="H124" s="8">
        <v>94</v>
      </c>
      <c r="I124" s="8">
        <v>90.32</v>
      </c>
      <c r="J124" s="8">
        <v>54</v>
      </c>
      <c r="K124" s="8">
        <v>75</v>
      </c>
      <c r="L124" s="8">
        <v>57</v>
      </c>
      <c r="M124" s="8" t="s">
        <v>21</v>
      </c>
      <c r="N124" s="8" t="s">
        <v>21</v>
      </c>
      <c r="O124" s="8" t="s">
        <v>21</v>
      </c>
      <c r="P124" s="8" t="s">
        <v>21</v>
      </c>
      <c r="Q124" s="8" t="s">
        <v>21</v>
      </c>
      <c r="R124" s="8">
        <v>63</v>
      </c>
      <c r="S124" s="8">
        <v>36</v>
      </c>
      <c r="T124" s="8" t="s">
        <v>21</v>
      </c>
      <c r="U124" s="10">
        <v>527</v>
      </c>
      <c r="V124" s="9">
        <f>RANK(U124,$U$2:$U$255)</f>
        <v>85</v>
      </c>
      <c r="W124" s="9">
        <f>V124-E124</f>
        <v>-4</v>
      </c>
    </row>
    <row r="125" s="12" customFormat="1" spans="1:23">
      <c r="A125" s="8" t="s">
        <v>22</v>
      </c>
      <c r="B125" s="8" t="s">
        <v>148</v>
      </c>
      <c r="C125" s="8">
        <v>392.63</v>
      </c>
      <c r="D125" s="8">
        <v>344.63</v>
      </c>
      <c r="E125" s="9">
        <f>RANK(C125,$C$2:$C$255)</f>
        <v>210</v>
      </c>
      <c r="F125" s="8">
        <v>214.63</v>
      </c>
      <c r="G125" s="8">
        <v>99</v>
      </c>
      <c r="H125" s="8">
        <v>50</v>
      </c>
      <c r="I125" s="8">
        <v>65.63</v>
      </c>
      <c r="J125" s="8">
        <v>33</v>
      </c>
      <c r="K125" s="8">
        <v>74</v>
      </c>
      <c r="L125" s="8">
        <v>56</v>
      </c>
      <c r="M125" s="8" t="s">
        <v>21</v>
      </c>
      <c r="N125" s="8" t="s">
        <v>21</v>
      </c>
      <c r="O125" s="8" t="s">
        <v>21</v>
      </c>
      <c r="P125" s="8" t="s">
        <v>21</v>
      </c>
      <c r="Q125" s="8" t="s">
        <v>21</v>
      </c>
      <c r="R125" s="8">
        <v>71</v>
      </c>
      <c r="S125" s="8">
        <v>41</v>
      </c>
      <c r="T125" s="8" t="s">
        <v>21</v>
      </c>
      <c r="U125" s="10">
        <v>497</v>
      </c>
      <c r="V125" s="9">
        <f>RANK(U125,$U$2:$U$255)</f>
        <v>206</v>
      </c>
      <c r="W125" s="9">
        <f>V125-E125</f>
        <v>-4</v>
      </c>
    </row>
    <row r="126" s="12" customFormat="1" spans="1:23">
      <c r="A126" s="8" t="s">
        <v>19</v>
      </c>
      <c r="B126" s="8" t="s">
        <v>149</v>
      </c>
      <c r="C126" s="8">
        <v>477.38</v>
      </c>
      <c r="D126" s="8">
        <v>455.38</v>
      </c>
      <c r="E126" s="9">
        <f>RANK(C126,$C$2:$C$255)</f>
        <v>84</v>
      </c>
      <c r="F126" s="8">
        <v>284.38</v>
      </c>
      <c r="G126" s="8">
        <v>107.5</v>
      </c>
      <c r="H126" s="8">
        <v>80</v>
      </c>
      <c r="I126" s="8">
        <v>96.88</v>
      </c>
      <c r="J126" s="8">
        <v>53</v>
      </c>
      <c r="K126" s="8">
        <v>71</v>
      </c>
      <c r="L126" s="8">
        <v>51</v>
      </c>
      <c r="M126" s="8">
        <v>69</v>
      </c>
      <c r="N126" s="8">
        <v>67</v>
      </c>
      <c r="O126" s="8" t="s">
        <v>21</v>
      </c>
      <c r="P126" s="8" t="s">
        <v>21</v>
      </c>
      <c r="Q126" s="8" t="s">
        <v>21</v>
      </c>
      <c r="R126" s="8" t="s">
        <v>21</v>
      </c>
      <c r="S126" s="8" t="s">
        <v>21</v>
      </c>
      <c r="T126" s="8" t="s">
        <v>21</v>
      </c>
      <c r="U126" s="14">
        <v>528</v>
      </c>
      <c r="V126" s="9">
        <f>RANK(U126,$U$2:$U$255)</f>
        <v>80</v>
      </c>
      <c r="W126" s="9">
        <f>V126-E126</f>
        <v>-4</v>
      </c>
    </row>
    <row r="127" s="12" customFormat="1" spans="1:23">
      <c r="A127" s="8" t="s">
        <v>24</v>
      </c>
      <c r="B127" s="8" t="s">
        <v>150</v>
      </c>
      <c r="C127" s="8">
        <v>378.44</v>
      </c>
      <c r="D127" s="8">
        <v>374.44</v>
      </c>
      <c r="E127" s="9">
        <f>RANK(C127,$C$2:$C$255)</f>
        <v>222</v>
      </c>
      <c r="F127" s="8">
        <v>223.44</v>
      </c>
      <c r="G127" s="8">
        <v>90.5</v>
      </c>
      <c r="H127" s="8">
        <v>57</v>
      </c>
      <c r="I127" s="8">
        <v>75.94</v>
      </c>
      <c r="J127" s="8">
        <v>39</v>
      </c>
      <c r="K127" s="8">
        <v>76</v>
      </c>
      <c r="L127" s="8">
        <v>59</v>
      </c>
      <c r="M127" s="8">
        <v>40</v>
      </c>
      <c r="N127" s="8">
        <v>53</v>
      </c>
      <c r="O127" s="8" t="s">
        <v>21</v>
      </c>
      <c r="P127" s="8" t="s">
        <v>21</v>
      </c>
      <c r="Q127" s="8" t="s">
        <v>21</v>
      </c>
      <c r="R127" s="8" t="s">
        <v>21</v>
      </c>
      <c r="S127" s="8" t="s">
        <v>21</v>
      </c>
      <c r="T127" s="8" t="s">
        <v>21</v>
      </c>
      <c r="U127" s="10">
        <v>491</v>
      </c>
      <c r="V127" s="9">
        <f>RANK(U127,$U$2:$U$255)</f>
        <v>218</v>
      </c>
      <c r="W127" s="9">
        <f>V127-E127</f>
        <v>-4</v>
      </c>
    </row>
    <row r="128" s="12" customFormat="1" spans="1:23">
      <c r="A128" s="8" t="s">
        <v>22</v>
      </c>
      <c r="B128" s="8" t="s">
        <v>151</v>
      </c>
      <c r="C128" s="8">
        <v>574</v>
      </c>
      <c r="D128" s="8">
        <v>531</v>
      </c>
      <c r="E128" s="9">
        <f>RANK(C128,$C$2:$C$255)</f>
        <v>6</v>
      </c>
      <c r="F128" s="8">
        <v>332</v>
      </c>
      <c r="G128" s="8">
        <v>112.5</v>
      </c>
      <c r="H128" s="8">
        <v>97</v>
      </c>
      <c r="I128" s="8">
        <v>122.5</v>
      </c>
      <c r="J128" s="8">
        <v>58</v>
      </c>
      <c r="K128" s="8">
        <v>92</v>
      </c>
      <c r="L128" s="8">
        <v>81</v>
      </c>
      <c r="M128" s="8" t="s">
        <v>21</v>
      </c>
      <c r="N128" s="8" t="s">
        <v>21</v>
      </c>
      <c r="O128" s="8" t="s">
        <v>21</v>
      </c>
      <c r="P128" s="8" t="s">
        <v>21</v>
      </c>
      <c r="Q128" s="8" t="s">
        <v>21</v>
      </c>
      <c r="R128" s="8">
        <v>92</v>
      </c>
      <c r="S128" s="8">
        <v>60</v>
      </c>
      <c r="T128" s="8" t="s">
        <v>21</v>
      </c>
      <c r="U128" s="10">
        <v>555</v>
      </c>
      <c r="V128" s="9">
        <f>RANK(U128,$U$2:$U$255)</f>
        <v>1</v>
      </c>
      <c r="W128" s="9">
        <f>V128-E128</f>
        <v>-5</v>
      </c>
    </row>
    <row r="129" s="12" customFormat="1" spans="1:23">
      <c r="A129" s="8" t="s">
        <v>26</v>
      </c>
      <c r="B129" s="8" t="s">
        <v>152</v>
      </c>
      <c r="C129" s="8">
        <v>394.13</v>
      </c>
      <c r="D129" s="8">
        <v>342.13</v>
      </c>
      <c r="E129" s="9">
        <f>RANK(C129,$C$2:$C$255)</f>
        <v>207</v>
      </c>
      <c r="F129" s="8">
        <v>242.13</v>
      </c>
      <c r="G129" s="8">
        <v>105</v>
      </c>
      <c r="H129" s="8">
        <v>59</v>
      </c>
      <c r="I129" s="8">
        <v>78.13</v>
      </c>
      <c r="J129" s="8">
        <v>29</v>
      </c>
      <c r="K129" s="8">
        <v>48</v>
      </c>
      <c r="L129" s="8">
        <v>26</v>
      </c>
      <c r="M129" s="8" t="s">
        <v>21</v>
      </c>
      <c r="N129" s="8" t="s">
        <v>21</v>
      </c>
      <c r="O129" s="8" t="s">
        <v>21</v>
      </c>
      <c r="P129" s="8" t="s">
        <v>21</v>
      </c>
      <c r="Q129" s="8" t="s">
        <v>21</v>
      </c>
      <c r="R129" s="8">
        <v>75</v>
      </c>
      <c r="S129" s="8">
        <v>45</v>
      </c>
      <c r="T129" s="8" t="s">
        <v>21</v>
      </c>
      <c r="U129" s="10">
        <v>499</v>
      </c>
      <c r="V129" s="9">
        <f>RANK(U129,$U$2:$U$255)</f>
        <v>202</v>
      </c>
      <c r="W129" s="9">
        <f>V129-E129</f>
        <v>-5</v>
      </c>
    </row>
    <row r="130" s="12" customFormat="1" spans="1:23">
      <c r="A130" s="8" t="s">
        <v>37</v>
      </c>
      <c r="B130" s="8" t="s">
        <v>153</v>
      </c>
      <c r="C130" s="8">
        <v>441.13</v>
      </c>
      <c r="D130" s="8">
        <v>421.13</v>
      </c>
      <c r="E130" s="9">
        <f>RANK(C130,$C$2:$C$255)</f>
        <v>151</v>
      </c>
      <c r="F130" s="8">
        <v>286.13</v>
      </c>
      <c r="G130" s="8">
        <v>112</v>
      </c>
      <c r="H130" s="8">
        <v>66</v>
      </c>
      <c r="I130" s="8">
        <v>108.13</v>
      </c>
      <c r="J130" s="8">
        <v>27</v>
      </c>
      <c r="K130" s="8">
        <v>69</v>
      </c>
      <c r="L130" s="8">
        <v>49</v>
      </c>
      <c r="M130" s="8" t="s">
        <v>21</v>
      </c>
      <c r="N130" s="8" t="s">
        <v>21</v>
      </c>
      <c r="O130" s="8">
        <v>59</v>
      </c>
      <c r="P130" s="8">
        <v>59</v>
      </c>
      <c r="Q130" s="8" t="s">
        <v>21</v>
      </c>
      <c r="R130" s="8" t="s">
        <v>21</v>
      </c>
      <c r="S130" s="8" t="s">
        <v>21</v>
      </c>
      <c r="T130" s="8" t="s">
        <v>21</v>
      </c>
      <c r="U130" s="10">
        <v>516</v>
      </c>
      <c r="V130" s="9">
        <f>RANK(U130,$U$2:$U$255)</f>
        <v>146</v>
      </c>
      <c r="W130" s="9">
        <f>V130-E130</f>
        <v>-5</v>
      </c>
    </row>
    <row r="131" s="12" customFormat="1" spans="1:23">
      <c r="A131" s="8" t="s">
        <v>22</v>
      </c>
      <c r="B131" s="8" t="s">
        <v>154</v>
      </c>
      <c r="C131" s="8">
        <v>472.63</v>
      </c>
      <c r="D131" s="8">
        <v>421.63</v>
      </c>
      <c r="E131" s="9">
        <f>RANK(C131,$C$2:$C$255)</f>
        <v>91</v>
      </c>
      <c r="F131" s="8">
        <v>266.63</v>
      </c>
      <c r="G131" s="8">
        <v>104</v>
      </c>
      <c r="H131" s="8">
        <v>77</v>
      </c>
      <c r="I131" s="8">
        <v>85.63</v>
      </c>
      <c r="J131" s="8">
        <v>47</v>
      </c>
      <c r="K131" s="8">
        <v>69</v>
      </c>
      <c r="L131" s="8">
        <v>49</v>
      </c>
      <c r="M131" s="8" t="s">
        <v>21</v>
      </c>
      <c r="N131" s="8" t="s">
        <v>21</v>
      </c>
      <c r="O131" s="8" t="s">
        <v>21</v>
      </c>
      <c r="P131" s="8" t="s">
        <v>21</v>
      </c>
      <c r="Q131" s="8" t="s">
        <v>21</v>
      </c>
      <c r="R131" s="8">
        <v>90</v>
      </c>
      <c r="S131" s="8">
        <v>59</v>
      </c>
      <c r="T131" s="8" t="s">
        <v>21</v>
      </c>
      <c r="U131" s="10">
        <v>527</v>
      </c>
      <c r="V131" s="9">
        <f>RANK(U131,$U$2:$U$255)</f>
        <v>85</v>
      </c>
      <c r="W131" s="9">
        <f>V131-E131</f>
        <v>-6</v>
      </c>
    </row>
    <row r="132" s="12" customFormat="1" spans="1:23">
      <c r="A132" s="8" t="s">
        <v>26</v>
      </c>
      <c r="B132" s="8" t="s">
        <v>155</v>
      </c>
      <c r="C132" s="8">
        <v>464.75</v>
      </c>
      <c r="D132" s="8">
        <v>414.75</v>
      </c>
      <c r="E132" s="9">
        <f>RANK(C132,$C$2:$C$255)</f>
        <v>106</v>
      </c>
      <c r="F132" s="8">
        <v>270.75</v>
      </c>
      <c r="G132" s="8">
        <v>112</v>
      </c>
      <c r="H132" s="8">
        <v>55</v>
      </c>
      <c r="I132" s="8">
        <v>103.75</v>
      </c>
      <c r="J132" s="8">
        <v>46</v>
      </c>
      <c r="K132" s="8">
        <v>71</v>
      </c>
      <c r="L132" s="8">
        <v>51</v>
      </c>
      <c r="M132" s="8" t="s">
        <v>21</v>
      </c>
      <c r="N132" s="8" t="s">
        <v>21</v>
      </c>
      <c r="O132" s="8" t="s">
        <v>21</v>
      </c>
      <c r="P132" s="8" t="s">
        <v>21</v>
      </c>
      <c r="Q132" s="8" t="s">
        <v>21</v>
      </c>
      <c r="R132" s="8">
        <v>77</v>
      </c>
      <c r="S132" s="8">
        <v>47</v>
      </c>
      <c r="T132" s="8" t="s">
        <v>21</v>
      </c>
      <c r="U132" s="10">
        <v>526</v>
      </c>
      <c r="V132" s="9">
        <f>RANK(U132,$U$2:$U$255)</f>
        <v>100</v>
      </c>
      <c r="W132" s="9">
        <f>V132-E132</f>
        <v>-6</v>
      </c>
    </row>
    <row r="133" s="12" customFormat="1" spans="1:23">
      <c r="A133" s="8" t="s">
        <v>26</v>
      </c>
      <c r="B133" s="8" t="s">
        <v>156</v>
      </c>
      <c r="C133" s="8">
        <v>364.25</v>
      </c>
      <c r="D133" s="8">
        <v>321.25</v>
      </c>
      <c r="E133" s="9">
        <f>RANK(C133,$C$2:$C$255)</f>
        <v>228</v>
      </c>
      <c r="F133" s="8">
        <v>242.25</v>
      </c>
      <c r="G133" s="8">
        <v>106.5</v>
      </c>
      <c r="H133" s="8">
        <v>92</v>
      </c>
      <c r="I133" s="8">
        <v>43.75</v>
      </c>
      <c r="J133" s="8">
        <v>25</v>
      </c>
      <c r="K133" s="8">
        <v>57</v>
      </c>
      <c r="L133" s="8">
        <v>33</v>
      </c>
      <c r="M133" s="8" t="s">
        <v>21</v>
      </c>
      <c r="N133" s="8" t="s">
        <v>21</v>
      </c>
      <c r="O133" s="8" t="s">
        <v>21</v>
      </c>
      <c r="P133" s="8" t="s">
        <v>21</v>
      </c>
      <c r="Q133" s="8" t="s">
        <v>21</v>
      </c>
      <c r="R133" s="8">
        <v>40</v>
      </c>
      <c r="S133" s="8">
        <v>21</v>
      </c>
      <c r="T133" s="8" t="s">
        <v>21</v>
      </c>
      <c r="U133" s="10">
        <v>489</v>
      </c>
      <c r="V133" s="9">
        <f>RANK(U133,$U$2:$U$255)</f>
        <v>222</v>
      </c>
      <c r="W133" s="9">
        <f>V133-E133</f>
        <v>-6</v>
      </c>
    </row>
    <row r="134" s="12" customFormat="1" spans="1:23">
      <c r="A134" s="8" t="s">
        <v>24</v>
      </c>
      <c r="B134" s="8" t="s">
        <v>157</v>
      </c>
      <c r="C134" s="8">
        <v>472.38</v>
      </c>
      <c r="D134" s="8">
        <v>449.38</v>
      </c>
      <c r="E134" s="9">
        <f>RANK(C134,$C$2:$C$255)</f>
        <v>92</v>
      </c>
      <c r="F134" s="8">
        <v>291.38</v>
      </c>
      <c r="G134" s="8">
        <v>114</v>
      </c>
      <c r="H134" s="8">
        <v>63</v>
      </c>
      <c r="I134" s="8">
        <v>114.38</v>
      </c>
      <c r="J134" s="8">
        <v>44</v>
      </c>
      <c r="K134" s="8">
        <v>66</v>
      </c>
      <c r="L134" s="8">
        <v>45</v>
      </c>
      <c r="M134" s="8">
        <v>71</v>
      </c>
      <c r="N134" s="8">
        <v>69</v>
      </c>
      <c r="O134" s="8" t="s">
        <v>21</v>
      </c>
      <c r="P134" s="8" t="s">
        <v>21</v>
      </c>
      <c r="Q134" s="8" t="s">
        <v>21</v>
      </c>
      <c r="R134" s="8" t="s">
        <v>21</v>
      </c>
      <c r="S134" s="8" t="s">
        <v>21</v>
      </c>
      <c r="T134" s="8" t="s">
        <v>21</v>
      </c>
      <c r="U134" s="10">
        <v>527</v>
      </c>
      <c r="V134" s="9">
        <f>RANK(U134,$U$2:$U$255)</f>
        <v>85</v>
      </c>
      <c r="W134" s="9">
        <f>V134-E134</f>
        <v>-7</v>
      </c>
    </row>
    <row r="135" s="12" customFormat="1" spans="1:23">
      <c r="A135" s="8" t="s">
        <v>37</v>
      </c>
      <c r="B135" s="8" t="s">
        <v>158</v>
      </c>
      <c r="C135" s="8">
        <v>394.69</v>
      </c>
      <c r="D135" s="8">
        <v>372.69</v>
      </c>
      <c r="E135" s="9">
        <f>RANK(C135,$C$2:$C$255)</f>
        <v>206</v>
      </c>
      <c r="F135" s="8">
        <v>248.69</v>
      </c>
      <c r="G135" s="8">
        <v>103</v>
      </c>
      <c r="H135" s="8">
        <v>56</v>
      </c>
      <c r="I135" s="8">
        <v>89.69</v>
      </c>
      <c r="J135" s="8">
        <v>30</v>
      </c>
      <c r="K135" s="8">
        <v>51</v>
      </c>
      <c r="L135" s="8">
        <v>29</v>
      </c>
      <c r="M135" s="8" t="s">
        <v>21</v>
      </c>
      <c r="N135" s="8" t="s">
        <v>21</v>
      </c>
      <c r="O135" s="8">
        <v>65</v>
      </c>
      <c r="P135" s="8">
        <v>65</v>
      </c>
      <c r="Q135" s="8" t="s">
        <v>21</v>
      </c>
      <c r="R135" s="8" t="s">
        <v>21</v>
      </c>
      <c r="S135" s="8" t="s">
        <v>21</v>
      </c>
      <c r="T135" s="8" t="s">
        <v>21</v>
      </c>
      <c r="U135" s="10">
        <v>501</v>
      </c>
      <c r="V135" s="9">
        <f>RANK(U135,$U$2:$U$255)</f>
        <v>199</v>
      </c>
      <c r="W135" s="9">
        <f>V135-E135</f>
        <v>-7</v>
      </c>
    </row>
    <row r="136" s="12" customFormat="1" spans="1:23">
      <c r="A136" s="8" t="s">
        <v>19</v>
      </c>
      <c r="B136" s="8" t="s">
        <v>159</v>
      </c>
      <c r="C136" s="8">
        <v>471.94</v>
      </c>
      <c r="D136" s="8">
        <v>448.94</v>
      </c>
      <c r="E136" s="9">
        <f>RANK(C136,$C$2:$C$255)</f>
        <v>93</v>
      </c>
      <c r="F136" s="8">
        <v>279.94</v>
      </c>
      <c r="G136" s="8">
        <v>111</v>
      </c>
      <c r="H136" s="8">
        <v>78</v>
      </c>
      <c r="I136" s="8">
        <v>90.94</v>
      </c>
      <c r="J136" s="8">
        <v>53</v>
      </c>
      <c r="K136" s="8">
        <v>68</v>
      </c>
      <c r="L136" s="8">
        <v>47</v>
      </c>
      <c r="M136" s="8">
        <v>71</v>
      </c>
      <c r="N136" s="8">
        <v>69</v>
      </c>
      <c r="O136" s="8" t="s">
        <v>21</v>
      </c>
      <c r="P136" s="8" t="s">
        <v>21</v>
      </c>
      <c r="Q136" s="8" t="s">
        <v>21</v>
      </c>
      <c r="R136" s="8" t="s">
        <v>21</v>
      </c>
      <c r="S136" s="8" t="s">
        <v>21</v>
      </c>
      <c r="T136" s="8" t="s">
        <v>21</v>
      </c>
      <c r="U136" s="10">
        <v>527</v>
      </c>
      <c r="V136" s="9">
        <f>RANK(U136,$U$2:$U$255)</f>
        <v>85</v>
      </c>
      <c r="W136" s="9">
        <f>V136-E136</f>
        <v>-8</v>
      </c>
    </row>
    <row r="137" s="12" customFormat="1" spans="1:23">
      <c r="A137" s="8" t="s">
        <v>37</v>
      </c>
      <c r="B137" s="8" t="s">
        <v>160</v>
      </c>
      <c r="C137" s="8">
        <v>498</v>
      </c>
      <c r="D137" s="8">
        <v>484</v>
      </c>
      <c r="E137" s="9">
        <f>RANK(C137,$C$2:$C$255)</f>
        <v>55</v>
      </c>
      <c r="F137" s="8">
        <v>309</v>
      </c>
      <c r="G137" s="8">
        <v>110.5</v>
      </c>
      <c r="H137" s="8">
        <v>81</v>
      </c>
      <c r="I137" s="8">
        <v>117.5</v>
      </c>
      <c r="J137" s="8">
        <v>43</v>
      </c>
      <c r="K137" s="8">
        <v>80</v>
      </c>
      <c r="L137" s="8">
        <v>65</v>
      </c>
      <c r="M137" s="8" t="s">
        <v>21</v>
      </c>
      <c r="N137" s="8" t="s">
        <v>21</v>
      </c>
      <c r="O137" s="8">
        <v>66</v>
      </c>
      <c r="P137" s="8">
        <v>67</v>
      </c>
      <c r="Q137" s="8" t="s">
        <v>21</v>
      </c>
      <c r="R137" s="8" t="s">
        <v>21</v>
      </c>
      <c r="S137" s="8" t="s">
        <v>21</v>
      </c>
      <c r="T137" s="8" t="s">
        <v>21</v>
      </c>
      <c r="U137" s="10">
        <v>531</v>
      </c>
      <c r="V137" s="9">
        <f>RANK(U137,$U$2:$U$255)</f>
        <v>47</v>
      </c>
      <c r="W137" s="9">
        <f>V137-E137</f>
        <v>-8</v>
      </c>
    </row>
    <row r="138" s="12" customFormat="1" spans="1:23">
      <c r="A138" s="8" t="s">
        <v>24</v>
      </c>
      <c r="B138" s="8" t="s">
        <v>161</v>
      </c>
      <c r="C138" s="8">
        <v>246</v>
      </c>
      <c r="D138" s="8">
        <v>234</v>
      </c>
      <c r="E138" s="9">
        <f>RANK(C138,$C$2:$C$255)</f>
        <v>237</v>
      </c>
      <c r="F138" s="8">
        <v>173</v>
      </c>
      <c r="G138" s="8">
        <v>74.5</v>
      </c>
      <c r="H138" s="8">
        <v>26</v>
      </c>
      <c r="I138" s="8" t="s">
        <v>21</v>
      </c>
      <c r="J138" s="8">
        <v>13</v>
      </c>
      <c r="K138" s="8">
        <v>30</v>
      </c>
      <c r="L138" s="8">
        <v>16</v>
      </c>
      <c r="M138" s="8">
        <v>30</v>
      </c>
      <c r="N138" s="8">
        <v>32</v>
      </c>
      <c r="O138" s="8" t="s">
        <v>21</v>
      </c>
      <c r="P138" s="8" t="s">
        <v>21</v>
      </c>
      <c r="Q138" s="8" t="s">
        <v>21</v>
      </c>
      <c r="R138" s="8" t="s">
        <v>21</v>
      </c>
      <c r="S138" s="8" t="s">
        <v>21</v>
      </c>
      <c r="T138" s="8">
        <v>72.5</v>
      </c>
      <c r="U138" s="10">
        <v>485</v>
      </c>
      <c r="V138" s="9">
        <f>RANK(U138,$U$2:$U$255)</f>
        <v>228</v>
      </c>
      <c r="W138" s="9">
        <f>V138-E138</f>
        <v>-9</v>
      </c>
    </row>
    <row r="139" s="12" customFormat="1" spans="1:23">
      <c r="A139" s="8" t="s">
        <v>26</v>
      </c>
      <c r="B139" s="8" t="s">
        <v>162</v>
      </c>
      <c r="C139" s="8">
        <v>410</v>
      </c>
      <c r="D139" s="8">
        <v>357</v>
      </c>
      <c r="E139" s="9">
        <f>RANK(C139,$C$2:$C$255)</f>
        <v>194</v>
      </c>
      <c r="F139" s="8">
        <v>227</v>
      </c>
      <c r="G139" s="8">
        <v>102</v>
      </c>
      <c r="H139" s="8">
        <v>50</v>
      </c>
      <c r="I139" s="8">
        <v>75</v>
      </c>
      <c r="J139" s="8">
        <v>38</v>
      </c>
      <c r="K139" s="8">
        <v>63</v>
      </c>
      <c r="L139" s="8">
        <v>40</v>
      </c>
      <c r="M139" s="8" t="s">
        <v>21</v>
      </c>
      <c r="N139" s="8" t="s">
        <v>21</v>
      </c>
      <c r="O139" s="8" t="s">
        <v>21</v>
      </c>
      <c r="P139" s="8" t="s">
        <v>21</v>
      </c>
      <c r="Q139" s="8" t="s">
        <v>21</v>
      </c>
      <c r="R139" s="8">
        <v>82</v>
      </c>
      <c r="S139" s="8">
        <v>52</v>
      </c>
      <c r="T139" s="8" t="s">
        <v>21</v>
      </c>
      <c r="U139" s="10">
        <v>506</v>
      </c>
      <c r="V139" s="9">
        <f>RANK(U139,$U$2:$U$255)</f>
        <v>184</v>
      </c>
      <c r="W139" s="9">
        <f>V139-E139</f>
        <v>-10</v>
      </c>
    </row>
    <row r="140" s="12" customFormat="1" spans="1:23">
      <c r="A140" s="8" t="s">
        <v>26</v>
      </c>
      <c r="B140" s="8" t="s">
        <v>163</v>
      </c>
      <c r="C140" s="8">
        <v>453.88</v>
      </c>
      <c r="D140" s="8">
        <v>405.88</v>
      </c>
      <c r="E140" s="9">
        <f>RANK(C140,$C$2:$C$255)</f>
        <v>127</v>
      </c>
      <c r="F140" s="8">
        <v>291.88</v>
      </c>
      <c r="G140" s="8">
        <v>108.5</v>
      </c>
      <c r="H140" s="8">
        <v>74</v>
      </c>
      <c r="I140" s="8">
        <v>109.38</v>
      </c>
      <c r="J140" s="8">
        <v>42</v>
      </c>
      <c r="K140" s="8">
        <v>62</v>
      </c>
      <c r="L140" s="8">
        <v>39</v>
      </c>
      <c r="M140" s="8" t="s">
        <v>21</v>
      </c>
      <c r="N140" s="8" t="s">
        <v>21</v>
      </c>
      <c r="O140" s="8" t="s">
        <v>21</v>
      </c>
      <c r="P140" s="8" t="s">
        <v>21</v>
      </c>
      <c r="Q140" s="8" t="s">
        <v>21</v>
      </c>
      <c r="R140" s="8">
        <v>58</v>
      </c>
      <c r="S140" s="8">
        <v>33</v>
      </c>
      <c r="T140" s="8" t="s">
        <v>21</v>
      </c>
      <c r="U140" s="10">
        <v>524</v>
      </c>
      <c r="V140" s="9">
        <f>RANK(U140,$U$2:$U$255)</f>
        <v>117</v>
      </c>
      <c r="W140" s="9">
        <f>V140-E140</f>
        <v>-10</v>
      </c>
    </row>
    <row r="141" s="12" customFormat="1" spans="1:23">
      <c r="A141" s="8" t="s">
        <v>22</v>
      </c>
      <c r="B141" s="8" t="s">
        <v>164</v>
      </c>
      <c r="C141" s="8">
        <v>535.82</v>
      </c>
      <c r="D141" s="8">
        <v>491.82</v>
      </c>
      <c r="E141" s="9">
        <f>RANK(C141,$C$2:$C$255)</f>
        <v>29</v>
      </c>
      <c r="F141" s="8">
        <v>298.82</v>
      </c>
      <c r="G141" s="8">
        <v>122</v>
      </c>
      <c r="H141" s="8">
        <v>89</v>
      </c>
      <c r="I141" s="8">
        <v>87.82</v>
      </c>
      <c r="J141" s="8">
        <v>67</v>
      </c>
      <c r="K141" s="8">
        <v>83</v>
      </c>
      <c r="L141" s="8">
        <v>70</v>
      </c>
      <c r="M141" s="8" t="s">
        <v>21</v>
      </c>
      <c r="N141" s="8" t="s">
        <v>21</v>
      </c>
      <c r="O141" s="8" t="s">
        <v>21</v>
      </c>
      <c r="P141" s="8" t="s">
        <v>21</v>
      </c>
      <c r="Q141" s="8" t="s">
        <v>21</v>
      </c>
      <c r="R141" s="8">
        <v>87</v>
      </c>
      <c r="S141" s="8">
        <v>56</v>
      </c>
      <c r="T141" s="8" t="s">
        <v>21</v>
      </c>
      <c r="U141" s="10">
        <v>535</v>
      </c>
      <c r="V141" s="9">
        <f>RANK(U141,$U$2:$U$255)</f>
        <v>18</v>
      </c>
      <c r="W141" s="9">
        <f>V141-E141</f>
        <v>-11</v>
      </c>
    </row>
    <row r="142" s="12" customFormat="1" spans="1:23">
      <c r="A142" s="8" t="s">
        <v>22</v>
      </c>
      <c r="B142" s="8" t="s">
        <v>165</v>
      </c>
      <c r="C142" s="8">
        <v>458.32</v>
      </c>
      <c r="D142" s="8">
        <v>411.32</v>
      </c>
      <c r="E142" s="9">
        <f>RANK(C142,$C$2:$C$255)</f>
        <v>120</v>
      </c>
      <c r="F142" s="8">
        <v>267.32</v>
      </c>
      <c r="G142" s="8">
        <v>104.5</v>
      </c>
      <c r="H142" s="8">
        <v>75</v>
      </c>
      <c r="I142" s="8">
        <v>87.82</v>
      </c>
      <c r="J142" s="8">
        <v>63</v>
      </c>
      <c r="K142" s="8">
        <v>67</v>
      </c>
      <c r="L142" s="8">
        <v>46</v>
      </c>
      <c r="M142" s="8" t="s">
        <v>21</v>
      </c>
      <c r="N142" s="8" t="s">
        <v>21</v>
      </c>
      <c r="O142" s="8" t="s">
        <v>21</v>
      </c>
      <c r="P142" s="8" t="s">
        <v>21</v>
      </c>
      <c r="Q142" s="8" t="s">
        <v>21</v>
      </c>
      <c r="R142" s="8">
        <v>61</v>
      </c>
      <c r="S142" s="8">
        <v>35</v>
      </c>
      <c r="T142" s="8" t="s">
        <v>21</v>
      </c>
      <c r="U142" s="10">
        <v>525</v>
      </c>
      <c r="V142" s="9">
        <f>RANK(U142,$U$2:$U$255)</f>
        <v>109</v>
      </c>
      <c r="W142" s="9">
        <f>V142-E142</f>
        <v>-11</v>
      </c>
    </row>
    <row r="143" s="12" customFormat="1" spans="1:23">
      <c r="A143" s="8" t="s">
        <v>26</v>
      </c>
      <c r="B143" s="8" t="s">
        <v>166</v>
      </c>
      <c r="C143" s="8">
        <v>424.94</v>
      </c>
      <c r="D143" s="8">
        <v>375.94</v>
      </c>
      <c r="E143" s="9">
        <f>RANK(C143,$C$2:$C$255)</f>
        <v>173</v>
      </c>
      <c r="F143" s="8">
        <v>286.94</v>
      </c>
      <c r="G143" s="8">
        <v>102</v>
      </c>
      <c r="H143" s="8">
        <v>69</v>
      </c>
      <c r="I143" s="8">
        <v>115.94</v>
      </c>
      <c r="J143" s="8">
        <v>27</v>
      </c>
      <c r="K143" s="8">
        <v>48</v>
      </c>
      <c r="L143" s="8">
        <v>26</v>
      </c>
      <c r="M143" s="8" t="s">
        <v>21</v>
      </c>
      <c r="N143" s="8" t="s">
        <v>21</v>
      </c>
      <c r="O143" s="8" t="s">
        <v>21</v>
      </c>
      <c r="P143" s="8" t="s">
        <v>21</v>
      </c>
      <c r="Q143" s="8" t="s">
        <v>21</v>
      </c>
      <c r="R143" s="8">
        <v>63</v>
      </c>
      <c r="S143" s="8">
        <v>36</v>
      </c>
      <c r="T143" s="8" t="s">
        <v>21</v>
      </c>
      <c r="U143" s="10">
        <v>511</v>
      </c>
      <c r="V143" s="9">
        <f>RANK(U143,$U$2:$U$255)</f>
        <v>162</v>
      </c>
      <c r="W143" s="9">
        <f>V143-E143</f>
        <v>-11</v>
      </c>
    </row>
    <row r="144" s="12" customFormat="1" spans="1:23">
      <c r="A144" s="8" t="s">
        <v>19</v>
      </c>
      <c r="B144" s="8" t="s">
        <v>167</v>
      </c>
      <c r="C144" s="8">
        <v>495.44</v>
      </c>
      <c r="D144" s="8">
        <v>470.44</v>
      </c>
      <c r="E144" s="9">
        <f>RANK(C144,$C$2:$C$255)</f>
        <v>60</v>
      </c>
      <c r="F144" s="8">
        <v>292.44</v>
      </c>
      <c r="G144" s="8">
        <v>111.5</v>
      </c>
      <c r="H144" s="8">
        <v>65</v>
      </c>
      <c r="I144" s="8">
        <v>115.94</v>
      </c>
      <c r="J144" s="8">
        <v>63</v>
      </c>
      <c r="K144" s="8">
        <v>66</v>
      </c>
      <c r="L144" s="8">
        <v>44</v>
      </c>
      <c r="M144" s="8">
        <v>74</v>
      </c>
      <c r="N144" s="8">
        <v>71</v>
      </c>
      <c r="O144" s="8" t="s">
        <v>21</v>
      </c>
      <c r="P144" s="8" t="s">
        <v>21</v>
      </c>
      <c r="Q144" s="8" t="s">
        <v>21</v>
      </c>
      <c r="R144" s="8" t="s">
        <v>21</v>
      </c>
      <c r="S144" s="8" t="s">
        <v>21</v>
      </c>
      <c r="T144" s="8" t="s">
        <v>21</v>
      </c>
      <c r="U144" s="10">
        <v>531</v>
      </c>
      <c r="V144" s="9">
        <f>RANK(U144,$U$2:$U$255)</f>
        <v>47</v>
      </c>
      <c r="W144" s="9">
        <f>V144-E144</f>
        <v>-13</v>
      </c>
    </row>
    <row r="145" s="12" customFormat="1" spans="1:23">
      <c r="A145" s="8" t="s">
        <v>37</v>
      </c>
      <c r="B145" s="8" t="s">
        <v>168</v>
      </c>
      <c r="C145" s="8">
        <v>507.69</v>
      </c>
      <c r="D145" s="8">
        <v>488.69</v>
      </c>
      <c r="E145" s="9">
        <f>RANK(C145,$C$2:$C$255)</f>
        <v>46</v>
      </c>
      <c r="F145" s="8">
        <v>321.69</v>
      </c>
      <c r="G145" s="8">
        <v>112</v>
      </c>
      <c r="H145" s="8">
        <v>90</v>
      </c>
      <c r="I145" s="8">
        <v>119.69</v>
      </c>
      <c r="J145" s="8">
        <v>40</v>
      </c>
      <c r="K145" s="8">
        <v>69</v>
      </c>
      <c r="L145" s="8">
        <v>49</v>
      </c>
      <c r="M145" s="8" t="s">
        <v>21</v>
      </c>
      <c r="N145" s="8" t="s">
        <v>21</v>
      </c>
      <c r="O145" s="8">
        <v>77</v>
      </c>
      <c r="P145" s="8">
        <v>78</v>
      </c>
      <c r="Q145" s="8" t="s">
        <v>21</v>
      </c>
      <c r="R145" s="8" t="s">
        <v>21</v>
      </c>
      <c r="S145" s="8" t="s">
        <v>21</v>
      </c>
      <c r="T145" s="8" t="s">
        <v>21</v>
      </c>
      <c r="U145" s="15">
        <v>533</v>
      </c>
      <c r="V145" s="9">
        <f>RANK(U145,$U$2:$U$255)</f>
        <v>33</v>
      </c>
      <c r="W145" s="9">
        <f>V145-E145</f>
        <v>-13</v>
      </c>
    </row>
    <row r="146" s="12" customFormat="1" spans="1:23">
      <c r="A146" s="8" t="s">
        <v>22</v>
      </c>
      <c r="B146" s="8" t="s">
        <v>169</v>
      </c>
      <c r="C146" s="8">
        <v>552.07</v>
      </c>
      <c r="D146" s="8">
        <v>510.07</v>
      </c>
      <c r="E146" s="9">
        <f>RANK(C146,$C$2:$C$255)</f>
        <v>16</v>
      </c>
      <c r="F146" s="8">
        <v>306.07</v>
      </c>
      <c r="G146" s="8">
        <v>116.5</v>
      </c>
      <c r="H146" s="8">
        <v>93</v>
      </c>
      <c r="I146" s="8">
        <v>96.57</v>
      </c>
      <c r="J146" s="8">
        <v>71</v>
      </c>
      <c r="K146" s="8">
        <v>88</v>
      </c>
      <c r="L146" s="8">
        <v>77</v>
      </c>
      <c r="M146" s="8" t="s">
        <v>21</v>
      </c>
      <c r="N146" s="8" t="s">
        <v>21</v>
      </c>
      <c r="O146" s="8" t="s">
        <v>21</v>
      </c>
      <c r="P146" s="8" t="s">
        <v>21</v>
      </c>
      <c r="Q146" s="8" t="s">
        <v>21</v>
      </c>
      <c r="R146" s="8">
        <v>87</v>
      </c>
      <c r="S146" s="8">
        <v>56</v>
      </c>
      <c r="T146" s="8" t="s">
        <v>21</v>
      </c>
      <c r="U146" s="10">
        <v>550</v>
      </c>
      <c r="V146" s="9">
        <f>RANK(U146,$U$2:$U$255)</f>
        <v>2</v>
      </c>
      <c r="W146" s="9">
        <f>V146-E146</f>
        <v>-14</v>
      </c>
    </row>
    <row r="147" s="12" customFormat="1" spans="1:23">
      <c r="A147" s="8" t="s">
        <v>22</v>
      </c>
      <c r="B147" s="8" t="s">
        <v>170</v>
      </c>
      <c r="C147" s="8">
        <v>518.44</v>
      </c>
      <c r="D147" s="8">
        <v>475.44</v>
      </c>
      <c r="E147" s="9">
        <f>RANK(C147,$C$2:$C$255)</f>
        <v>37</v>
      </c>
      <c r="F147" s="8">
        <v>281.44</v>
      </c>
      <c r="G147" s="8">
        <v>114</v>
      </c>
      <c r="H147" s="8">
        <v>94</v>
      </c>
      <c r="I147" s="8">
        <v>73.44</v>
      </c>
      <c r="J147" s="8">
        <v>68</v>
      </c>
      <c r="K147" s="8">
        <v>84</v>
      </c>
      <c r="L147" s="8">
        <v>71</v>
      </c>
      <c r="M147" s="8" t="s">
        <v>21</v>
      </c>
      <c r="N147" s="8" t="s">
        <v>21</v>
      </c>
      <c r="O147" s="8" t="s">
        <v>21</v>
      </c>
      <c r="P147" s="8" t="s">
        <v>21</v>
      </c>
      <c r="Q147" s="8" t="s">
        <v>21</v>
      </c>
      <c r="R147" s="8">
        <v>85</v>
      </c>
      <c r="S147" s="8">
        <v>55</v>
      </c>
      <c r="T147" s="8" t="s">
        <v>21</v>
      </c>
      <c r="U147" s="15">
        <v>534</v>
      </c>
      <c r="V147" s="9">
        <f>RANK(U147,$U$2:$U$255)</f>
        <v>23</v>
      </c>
      <c r="W147" s="9">
        <f>V147-E147</f>
        <v>-14</v>
      </c>
    </row>
    <row r="148" s="12" customFormat="1" spans="1:23">
      <c r="A148" s="8" t="s">
        <v>22</v>
      </c>
      <c r="B148" s="8" t="s">
        <v>171</v>
      </c>
      <c r="C148" s="8">
        <v>455.57</v>
      </c>
      <c r="D148" s="8">
        <v>406.57</v>
      </c>
      <c r="E148" s="9">
        <f>RANK(C148,$C$2:$C$255)</f>
        <v>125</v>
      </c>
      <c r="F148" s="8">
        <v>292.57</v>
      </c>
      <c r="G148" s="8">
        <v>106.5</v>
      </c>
      <c r="H148" s="8">
        <v>72</v>
      </c>
      <c r="I148" s="8">
        <v>114.07</v>
      </c>
      <c r="J148" s="8">
        <v>30</v>
      </c>
      <c r="K148" s="8">
        <v>68</v>
      </c>
      <c r="L148" s="8">
        <v>47</v>
      </c>
      <c r="M148" s="8" t="s">
        <v>21</v>
      </c>
      <c r="N148" s="8" t="s">
        <v>21</v>
      </c>
      <c r="O148" s="8" t="s">
        <v>21</v>
      </c>
      <c r="P148" s="8" t="s">
        <v>21</v>
      </c>
      <c r="Q148" s="8" t="s">
        <v>21</v>
      </c>
      <c r="R148" s="8">
        <v>65</v>
      </c>
      <c r="S148" s="8">
        <v>37</v>
      </c>
      <c r="T148" s="8" t="s">
        <v>21</v>
      </c>
      <c r="U148" s="10">
        <v>525</v>
      </c>
      <c r="V148" s="9">
        <f>RANK(U148,$U$2:$U$255)</f>
        <v>109</v>
      </c>
      <c r="W148" s="9">
        <f>V148-E148</f>
        <v>-16</v>
      </c>
    </row>
    <row r="149" s="12" customFormat="1" spans="1:23">
      <c r="A149" s="8" t="s">
        <v>22</v>
      </c>
      <c r="B149" s="8" t="s">
        <v>172</v>
      </c>
      <c r="C149" s="8">
        <v>460.07</v>
      </c>
      <c r="D149" s="8">
        <v>411.07</v>
      </c>
      <c r="E149" s="9">
        <f>RANK(C149,$C$2:$C$255)</f>
        <v>117</v>
      </c>
      <c r="F149" s="8">
        <v>253.07</v>
      </c>
      <c r="G149" s="8">
        <v>110.5</v>
      </c>
      <c r="H149" s="8">
        <v>86</v>
      </c>
      <c r="I149" s="8">
        <v>56.57</v>
      </c>
      <c r="J149" s="8">
        <v>74</v>
      </c>
      <c r="K149" s="8">
        <v>67</v>
      </c>
      <c r="L149" s="8">
        <v>46</v>
      </c>
      <c r="M149" s="8" t="s">
        <v>21</v>
      </c>
      <c r="N149" s="8" t="s">
        <v>21</v>
      </c>
      <c r="O149" s="8" t="s">
        <v>21</v>
      </c>
      <c r="P149" s="8" t="s">
        <v>21</v>
      </c>
      <c r="Q149" s="8" t="s">
        <v>21</v>
      </c>
      <c r="R149" s="8">
        <v>66</v>
      </c>
      <c r="S149" s="8">
        <v>38</v>
      </c>
      <c r="T149" s="8" t="s">
        <v>21</v>
      </c>
      <c r="U149" s="10">
        <v>526</v>
      </c>
      <c r="V149" s="9">
        <f>RANK(U149,$U$2:$U$255)</f>
        <v>100</v>
      </c>
      <c r="W149" s="9">
        <f>V149-E149</f>
        <v>-17</v>
      </c>
    </row>
    <row r="150" s="12" customFormat="1" spans="1:23">
      <c r="A150" s="8" t="s">
        <v>19</v>
      </c>
      <c r="B150" s="8" t="s">
        <v>173</v>
      </c>
      <c r="C150" s="8">
        <v>538.44</v>
      </c>
      <c r="D150" s="8">
        <v>526.44</v>
      </c>
      <c r="E150" s="9">
        <f>RANK(C150,$C$2:$C$255)</f>
        <v>26</v>
      </c>
      <c r="F150" s="8">
        <v>314.44</v>
      </c>
      <c r="G150" s="8">
        <v>97.5</v>
      </c>
      <c r="H150" s="8">
        <v>106</v>
      </c>
      <c r="I150" s="8">
        <v>110.94</v>
      </c>
      <c r="J150" s="8">
        <v>59</v>
      </c>
      <c r="K150" s="8">
        <v>93</v>
      </c>
      <c r="L150" s="8">
        <v>83</v>
      </c>
      <c r="M150" s="8">
        <v>72</v>
      </c>
      <c r="N150" s="8">
        <v>70</v>
      </c>
      <c r="O150" s="8" t="s">
        <v>21</v>
      </c>
      <c r="P150" s="8" t="s">
        <v>21</v>
      </c>
      <c r="Q150" s="8" t="s">
        <v>21</v>
      </c>
      <c r="R150" s="8" t="s">
        <v>21</v>
      </c>
      <c r="S150" s="8" t="s">
        <v>21</v>
      </c>
      <c r="T150" s="8" t="s">
        <v>21</v>
      </c>
      <c r="U150" s="10">
        <v>542</v>
      </c>
      <c r="V150" s="9">
        <f>RANK(U150,$U$2:$U$255)</f>
        <v>9</v>
      </c>
      <c r="W150" s="9">
        <f>V150-E150</f>
        <v>-17</v>
      </c>
    </row>
    <row r="151" s="12" customFormat="1" spans="1:23">
      <c r="A151" s="8" t="s">
        <v>19</v>
      </c>
      <c r="B151" s="8" t="s">
        <v>174</v>
      </c>
      <c r="C151" s="8">
        <v>532.88</v>
      </c>
      <c r="D151" s="8">
        <v>514.88</v>
      </c>
      <c r="E151" s="9">
        <f>RANK(C151,$C$2:$C$255)</f>
        <v>31</v>
      </c>
      <c r="F151" s="8">
        <v>329.88</v>
      </c>
      <c r="G151" s="8">
        <v>108.5</v>
      </c>
      <c r="H151" s="8">
        <v>92</v>
      </c>
      <c r="I151" s="8">
        <v>129.38</v>
      </c>
      <c r="J151" s="8">
        <v>50</v>
      </c>
      <c r="K151" s="8">
        <v>78</v>
      </c>
      <c r="L151" s="8">
        <v>63</v>
      </c>
      <c r="M151" s="8">
        <v>75</v>
      </c>
      <c r="N151" s="8">
        <v>72</v>
      </c>
      <c r="O151" s="8" t="s">
        <v>21</v>
      </c>
      <c r="P151" s="8" t="s">
        <v>21</v>
      </c>
      <c r="Q151" s="8" t="s">
        <v>21</v>
      </c>
      <c r="R151" s="8" t="s">
        <v>21</v>
      </c>
      <c r="S151" s="8" t="s">
        <v>21</v>
      </c>
      <c r="T151" s="8" t="s">
        <v>21</v>
      </c>
      <c r="U151" s="10">
        <v>537</v>
      </c>
      <c r="V151" s="9">
        <f>RANK(U151,$U$2:$U$255)</f>
        <v>14</v>
      </c>
      <c r="W151" s="9">
        <f>V151-E151</f>
        <v>-17</v>
      </c>
    </row>
    <row r="152" s="12" customFormat="1" spans="1:23">
      <c r="A152" s="8" t="s">
        <v>19</v>
      </c>
      <c r="B152" s="8" t="s">
        <v>175</v>
      </c>
      <c r="C152" s="8">
        <v>494.63</v>
      </c>
      <c r="D152" s="8">
        <v>468.63</v>
      </c>
      <c r="E152" s="9">
        <f>RANK(C152,$C$2:$C$255)</f>
        <v>64</v>
      </c>
      <c r="F152" s="8">
        <v>306.63</v>
      </c>
      <c r="G152" s="8">
        <v>112.5</v>
      </c>
      <c r="H152" s="8">
        <v>71</v>
      </c>
      <c r="I152" s="8">
        <v>123.13</v>
      </c>
      <c r="J152" s="8">
        <v>38</v>
      </c>
      <c r="K152" s="8">
        <v>69</v>
      </c>
      <c r="L152" s="8">
        <v>48</v>
      </c>
      <c r="M152" s="8">
        <v>81</v>
      </c>
      <c r="N152" s="8">
        <v>76</v>
      </c>
      <c r="O152" s="8" t="s">
        <v>21</v>
      </c>
      <c r="P152" s="8" t="s">
        <v>21</v>
      </c>
      <c r="Q152" s="8" t="s">
        <v>21</v>
      </c>
      <c r="R152" s="8" t="s">
        <v>21</v>
      </c>
      <c r="S152" s="8" t="s">
        <v>21</v>
      </c>
      <c r="T152" s="8" t="s">
        <v>21</v>
      </c>
      <c r="U152" s="10">
        <v>531</v>
      </c>
      <c r="V152" s="9">
        <f>RANK(U152,$U$2:$U$255)</f>
        <v>47</v>
      </c>
      <c r="W152" s="9">
        <f>V152-E152</f>
        <v>-17</v>
      </c>
    </row>
    <row r="153" s="12" customFormat="1" spans="1:23">
      <c r="A153" s="8" t="s">
        <v>26</v>
      </c>
      <c r="B153" s="8" t="s">
        <v>176</v>
      </c>
      <c r="C153" s="8">
        <v>431.75</v>
      </c>
      <c r="D153" s="8">
        <v>385.75</v>
      </c>
      <c r="E153" s="9">
        <f>RANK(C153,$C$2:$C$255)</f>
        <v>162</v>
      </c>
      <c r="F153" s="8">
        <v>266.75</v>
      </c>
      <c r="G153" s="8">
        <v>115</v>
      </c>
      <c r="H153" s="8">
        <v>78</v>
      </c>
      <c r="I153" s="8">
        <v>73.75</v>
      </c>
      <c r="J153" s="8">
        <v>37</v>
      </c>
      <c r="K153" s="8">
        <v>69</v>
      </c>
      <c r="L153" s="8">
        <v>48</v>
      </c>
      <c r="M153" s="8" t="s">
        <v>21</v>
      </c>
      <c r="N153" s="8" t="s">
        <v>21</v>
      </c>
      <c r="O153" s="8" t="s">
        <v>21</v>
      </c>
      <c r="P153" s="8" t="s">
        <v>21</v>
      </c>
      <c r="Q153" s="8" t="s">
        <v>21</v>
      </c>
      <c r="R153" s="8">
        <v>59</v>
      </c>
      <c r="S153" s="8">
        <v>34</v>
      </c>
      <c r="T153" s="8" t="s">
        <v>21</v>
      </c>
      <c r="U153" s="10">
        <v>517</v>
      </c>
      <c r="V153" s="9">
        <f>RANK(U153,$U$2:$U$255)</f>
        <v>144</v>
      </c>
      <c r="W153" s="9">
        <f>V153-E153</f>
        <v>-18</v>
      </c>
    </row>
    <row r="154" s="12" customFormat="1" spans="1:23">
      <c r="A154" s="8" t="s">
        <v>26</v>
      </c>
      <c r="B154" s="8" t="s">
        <v>177</v>
      </c>
      <c r="C154" s="8">
        <v>391.69</v>
      </c>
      <c r="D154" s="8">
        <v>338.69</v>
      </c>
      <c r="E154" s="9">
        <f>RANK(C154,$C$2:$C$255)</f>
        <v>211</v>
      </c>
      <c r="F154" s="8">
        <v>207.69</v>
      </c>
      <c r="G154" s="8">
        <v>93.5</v>
      </c>
      <c r="H154" s="8">
        <v>37</v>
      </c>
      <c r="I154" s="8">
        <v>77.19</v>
      </c>
      <c r="J154" s="8">
        <v>25</v>
      </c>
      <c r="K154" s="8">
        <v>66</v>
      </c>
      <c r="L154" s="8">
        <v>45</v>
      </c>
      <c r="M154" s="8" t="s">
        <v>21</v>
      </c>
      <c r="N154" s="8" t="s">
        <v>21</v>
      </c>
      <c r="O154" s="8" t="s">
        <v>21</v>
      </c>
      <c r="P154" s="8" t="s">
        <v>21</v>
      </c>
      <c r="Q154" s="8" t="s">
        <v>21</v>
      </c>
      <c r="R154" s="8">
        <v>93</v>
      </c>
      <c r="S154" s="8">
        <v>61</v>
      </c>
      <c r="T154" s="8" t="s">
        <v>21</v>
      </c>
      <c r="U154" s="10">
        <v>504</v>
      </c>
      <c r="V154" s="9">
        <f>RANK(U154,$U$2:$U$255)</f>
        <v>193</v>
      </c>
      <c r="W154" s="9">
        <f>V154-E154</f>
        <v>-18</v>
      </c>
    </row>
    <row r="155" s="12" customFormat="1" spans="1:23">
      <c r="A155" s="8" t="s">
        <v>24</v>
      </c>
      <c r="B155" s="8" t="s">
        <v>178</v>
      </c>
      <c r="C155" s="8">
        <v>476.5</v>
      </c>
      <c r="D155" s="8">
        <v>446.5</v>
      </c>
      <c r="E155" s="9">
        <f>RANK(C155,$C$2:$C$255)</f>
        <v>85</v>
      </c>
      <c r="F155" s="8">
        <v>281.5</v>
      </c>
      <c r="G155" s="8">
        <v>114</v>
      </c>
      <c r="H155" s="8">
        <v>75</v>
      </c>
      <c r="I155" s="8">
        <v>92.5</v>
      </c>
      <c r="J155" s="8">
        <v>37</v>
      </c>
      <c r="K155" s="8">
        <v>60</v>
      </c>
      <c r="L155" s="8">
        <v>37</v>
      </c>
      <c r="M155" s="8">
        <v>98</v>
      </c>
      <c r="N155" s="8">
        <v>91</v>
      </c>
      <c r="O155" s="8" t="s">
        <v>21</v>
      </c>
      <c r="P155" s="8" t="s">
        <v>21</v>
      </c>
      <c r="Q155" s="8" t="s">
        <v>21</v>
      </c>
      <c r="R155" s="8" t="s">
        <v>21</v>
      </c>
      <c r="S155" s="8" t="s">
        <v>21</v>
      </c>
      <c r="T155" s="8" t="s">
        <v>21</v>
      </c>
      <c r="U155" s="10">
        <v>530</v>
      </c>
      <c r="V155" s="9">
        <f>RANK(U155,$U$2:$U$255)</f>
        <v>67</v>
      </c>
      <c r="W155" s="9">
        <f>V155-E155</f>
        <v>-18</v>
      </c>
    </row>
    <row r="156" s="12" customFormat="1" spans="1:23">
      <c r="A156" s="8" t="s">
        <v>37</v>
      </c>
      <c r="B156" s="8" t="s">
        <v>179</v>
      </c>
      <c r="C156" s="8">
        <v>468.5</v>
      </c>
      <c r="D156" s="8">
        <v>451.5</v>
      </c>
      <c r="E156" s="9">
        <f>RANK(C156,$C$2:$C$255)</f>
        <v>98</v>
      </c>
      <c r="F156" s="8">
        <v>284.5</v>
      </c>
      <c r="G156" s="8">
        <v>112.5</v>
      </c>
      <c r="H156" s="8">
        <v>72</v>
      </c>
      <c r="I156" s="8">
        <v>100</v>
      </c>
      <c r="J156" s="8">
        <v>42</v>
      </c>
      <c r="K156" s="8">
        <v>74</v>
      </c>
      <c r="L156" s="8">
        <v>56</v>
      </c>
      <c r="M156" s="8" t="s">
        <v>21</v>
      </c>
      <c r="N156" s="8" t="s">
        <v>21</v>
      </c>
      <c r="O156" s="8">
        <v>68</v>
      </c>
      <c r="P156" s="8">
        <v>69</v>
      </c>
      <c r="Q156" s="8" t="s">
        <v>21</v>
      </c>
      <c r="R156" s="8" t="s">
        <v>21</v>
      </c>
      <c r="S156" s="8" t="s">
        <v>21</v>
      </c>
      <c r="T156" s="8" t="s">
        <v>21</v>
      </c>
      <c r="U156" s="10">
        <v>528</v>
      </c>
      <c r="V156" s="9">
        <f>RANK(U156,$U$2:$U$255)</f>
        <v>80</v>
      </c>
      <c r="W156" s="9">
        <f>V156-E156</f>
        <v>-18</v>
      </c>
    </row>
    <row r="157" s="12" customFormat="1" spans="1:23">
      <c r="A157" s="8" t="s">
        <v>24</v>
      </c>
      <c r="B157" s="8" t="s">
        <v>180</v>
      </c>
      <c r="C157" s="8">
        <v>388</v>
      </c>
      <c r="D157" s="8">
        <v>374</v>
      </c>
      <c r="E157" s="9">
        <f>RANK(C157,$C$2:$C$255)</f>
        <v>215</v>
      </c>
      <c r="F157" s="8">
        <v>235</v>
      </c>
      <c r="G157" s="8">
        <v>87.5</v>
      </c>
      <c r="H157" s="8">
        <v>59</v>
      </c>
      <c r="I157" s="8" t="s">
        <v>21</v>
      </c>
      <c r="J157" s="8">
        <v>34</v>
      </c>
      <c r="K157" s="8">
        <v>69</v>
      </c>
      <c r="L157" s="8">
        <v>48</v>
      </c>
      <c r="M157" s="8">
        <v>50</v>
      </c>
      <c r="N157" s="8">
        <v>57</v>
      </c>
      <c r="O157" s="8" t="s">
        <v>21</v>
      </c>
      <c r="P157" s="8" t="s">
        <v>21</v>
      </c>
      <c r="Q157" s="8" t="s">
        <v>21</v>
      </c>
      <c r="R157" s="8" t="s">
        <v>21</v>
      </c>
      <c r="S157" s="8" t="s">
        <v>21</v>
      </c>
      <c r="T157" s="8">
        <v>88.5</v>
      </c>
      <c r="U157" s="10">
        <v>503</v>
      </c>
      <c r="V157" s="9">
        <f>RANK(U157,$U$2:$U$255)</f>
        <v>196</v>
      </c>
      <c r="W157" s="9">
        <f>V157-E157</f>
        <v>-19</v>
      </c>
    </row>
    <row r="158" s="12" customFormat="1" spans="1:23">
      <c r="A158" s="8" t="s">
        <v>37</v>
      </c>
      <c r="B158" s="8" t="s">
        <v>181</v>
      </c>
      <c r="C158" s="8">
        <v>426.07</v>
      </c>
      <c r="D158" s="8">
        <v>405.07</v>
      </c>
      <c r="E158" s="9">
        <f>RANK(C158,$C$2:$C$255)</f>
        <v>169</v>
      </c>
      <c r="F158" s="8">
        <v>253.07</v>
      </c>
      <c r="G158" s="8">
        <v>110.5</v>
      </c>
      <c r="H158" s="8">
        <v>56</v>
      </c>
      <c r="I158" s="8">
        <v>86.57</v>
      </c>
      <c r="J158" s="8">
        <v>45</v>
      </c>
      <c r="K158" s="8">
        <v>66</v>
      </c>
      <c r="L158" s="8">
        <v>45</v>
      </c>
      <c r="M158" s="8" t="s">
        <v>21</v>
      </c>
      <c r="N158" s="8" t="s">
        <v>21</v>
      </c>
      <c r="O158" s="8">
        <v>62</v>
      </c>
      <c r="P158" s="8">
        <v>62</v>
      </c>
      <c r="Q158" s="8" t="s">
        <v>21</v>
      </c>
      <c r="R158" s="8" t="s">
        <v>21</v>
      </c>
      <c r="S158" s="8" t="s">
        <v>21</v>
      </c>
      <c r="T158" s="8" t="s">
        <v>21</v>
      </c>
      <c r="U158" s="10">
        <v>515</v>
      </c>
      <c r="V158" s="9">
        <f>RANK(U158,$U$2:$U$255)</f>
        <v>150</v>
      </c>
      <c r="W158" s="9">
        <f>V158-E158</f>
        <v>-19</v>
      </c>
    </row>
    <row r="159" s="12" customFormat="1" spans="1:23">
      <c r="A159" s="8" t="s">
        <v>37</v>
      </c>
      <c r="B159" s="8" t="s">
        <v>182</v>
      </c>
      <c r="C159" s="8">
        <v>412</v>
      </c>
      <c r="D159" s="8">
        <v>393</v>
      </c>
      <c r="E159" s="9">
        <f>RANK(C159,$C$2:$C$255)</f>
        <v>192</v>
      </c>
      <c r="F159" s="8">
        <v>271</v>
      </c>
      <c r="G159" s="8">
        <v>114</v>
      </c>
      <c r="H159" s="8">
        <v>62</v>
      </c>
      <c r="I159" s="8">
        <v>95</v>
      </c>
      <c r="J159" s="8">
        <v>32</v>
      </c>
      <c r="K159" s="8">
        <v>62</v>
      </c>
      <c r="L159" s="8">
        <v>39</v>
      </c>
      <c r="M159" s="8" t="s">
        <v>21</v>
      </c>
      <c r="N159" s="8" t="s">
        <v>21</v>
      </c>
      <c r="O159" s="8">
        <v>47</v>
      </c>
      <c r="P159" s="8">
        <v>51</v>
      </c>
      <c r="Q159" s="8" t="s">
        <v>21</v>
      </c>
      <c r="R159" s="8" t="s">
        <v>21</v>
      </c>
      <c r="S159" s="8" t="s">
        <v>21</v>
      </c>
      <c r="T159" s="8" t="s">
        <v>21</v>
      </c>
      <c r="U159" s="10">
        <v>509</v>
      </c>
      <c r="V159" s="9">
        <f>RANK(U159,$U$2:$U$255)</f>
        <v>173</v>
      </c>
      <c r="W159" s="9">
        <f>V159-E159</f>
        <v>-19</v>
      </c>
    </row>
    <row r="160" s="12" customFormat="1" spans="1:23">
      <c r="A160" s="8" t="s">
        <v>26</v>
      </c>
      <c r="B160" s="8" t="s">
        <v>183</v>
      </c>
      <c r="C160" s="8">
        <v>425</v>
      </c>
      <c r="D160" s="8">
        <v>373</v>
      </c>
      <c r="E160" s="9">
        <f>RANK(C160,$C$2:$C$255)</f>
        <v>172</v>
      </c>
      <c r="F160" s="8">
        <v>246</v>
      </c>
      <c r="G160" s="8">
        <v>97.5</v>
      </c>
      <c r="H160" s="8">
        <v>49</v>
      </c>
      <c r="I160" s="8" t="s">
        <v>21</v>
      </c>
      <c r="J160" s="8">
        <v>37</v>
      </c>
      <c r="K160" s="8">
        <v>65</v>
      </c>
      <c r="L160" s="8">
        <v>43</v>
      </c>
      <c r="M160" s="8" t="s">
        <v>21</v>
      </c>
      <c r="N160" s="8" t="s">
        <v>21</v>
      </c>
      <c r="O160" s="8" t="s">
        <v>21</v>
      </c>
      <c r="P160" s="8" t="s">
        <v>21</v>
      </c>
      <c r="Q160" s="8" t="s">
        <v>21</v>
      </c>
      <c r="R160" s="8">
        <v>77</v>
      </c>
      <c r="S160" s="8">
        <v>47</v>
      </c>
      <c r="T160" s="8">
        <v>99.5</v>
      </c>
      <c r="U160" s="10">
        <v>514</v>
      </c>
      <c r="V160" s="9">
        <f>RANK(U160,$U$2:$U$255)</f>
        <v>152</v>
      </c>
      <c r="W160" s="9">
        <f>V160-E160</f>
        <v>-20</v>
      </c>
    </row>
    <row r="161" s="12" customFormat="1" spans="1:23">
      <c r="A161" s="8" t="s">
        <v>19</v>
      </c>
      <c r="B161" s="8" t="s">
        <v>184</v>
      </c>
      <c r="C161" s="8">
        <v>497</v>
      </c>
      <c r="D161" s="8">
        <v>476</v>
      </c>
      <c r="E161" s="9">
        <f>RANK(C161,$C$2:$C$255)</f>
        <v>58</v>
      </c>
      <c r="F161" s="8">
        <v>295</v>
      </c>
      <c r="G161" s="8">
        <v>105.5</v>
      </c>
      <c r="H161" s="8">
        <v>82</v>
      </c>
      <c r="I161" s="8">
        <v>107.5</v>
      </c>
      <c r="J161" s="8">
        <v>59</v>
      </c>
      <c r="K161" s="8">
        <v>72</v>
      </c>
      <c r="L161" s="8">
        <v>53</v>
      </c>
      <c r="M161" s="8">
        <v>71</v>
      </c>
      <c r="N161" s="8">
        <v>69</v>
      </c>
      <c r="O161" s="8" t="s">
        <v>21</v>
      </c>
      <c r="P161" s="8" t="s">
        <v>21</v>
      </c>
      <c r="Q161" s="8" t="s">
        <v>21</v>
      </c>
      <c r="R161" s="8" t="s">
        <v>21</v>
      </c>
      <c r="S161" s="8" t="s">
        <v>21</v>
      </c>
      <c r="T161" s="8" t="s">
        <v>21</v>
      </c>
      <c r="U161" s="10">
        <v>532</v>
      </c>
      <c r="V161" s="9">
        <f>RANK(U161,$U$2:$U$255)</f>
        <v>38</v>
      </c>
      <c r="W161" s="9">
        <f>V161-E161</f>
        <v>-20</v>
      </c>
    </row>
    <row r="162" s="12" customFormat="1" spans="1:23">
      <c r="A162" s="8" t="s">
        <v>24</v>
      </c>
      <c r="B162" s="8" t="s">
        <v>185</v>
      </c>
      <c r="C162" s="8">
        <v>410.5</v>
      </c>
      <c r="D162" s="8">
        <v>404.5</v>
      </c>
      <c r="E162" s="9">
        <f>RANK(C162,$C$2:$C$255)</f>
        <v>193</v>
      </c>
      <c r="F162" s="8">
        <v>271.5</v>
      </c>
      <c r="G162" s="8">
        <v>104</v>
      </c>
      <c r="H162" s="8">
        <v>80</v>
      </c>
      <c r="I162" s="8">
        <v>87.5</v>
      </c>
      <c r="J162" s="8">
        <v>29</v>
      </c>
      <c r="K162" s="8">
        <v>69</v>
      </c>
      <c r="L162" s="8">
        <v>49</v>
      </c>
      <c r="M162" s="8">
        <v>41</v>
      </c>
      <c r="N162" s="8">
        <v>55</v>
      </c>
      <c r="O162" s="8" t="s">
        <v>21</v>
      </c>
      <c r="P162" s="8" t="s">
        <v>21</v>
      </c>
      <c r="Q162" s="8" t="s">
        <v>21</v>
      </c>
      <c r="R162" s="8" t="s">
        <v>21</v>
      </c>
      <c r="S162" s="8" t="s">
        <v>21</v>
      </c>
      <c r="T162" s="8" t="s">
        <v>21</v>
      </c>
      <c r="U162" s="10">
        <v>509</v>
      </c>
      <c r="V162" s="9">
        <f>RANK(U162,$U$2:$U$255)</f>
        <v>173</v>
      </c>
      <c r="W162" s="9">
        <f>V162-E162</f>
        <v>-20</v>
      </c>
    </row>
    <row r="163" s="12" customFormat="1" spans="1:23">
      <c r="A163" s="8" t="s">
        <v>19</v>
      </c>
      <c r="B163" s="8" t="s">
        <v>186</v>
      </c>
      <c r="C163" s="8">
        <v>426.5</v>
      </c>
      <c r="D163" s="8">
        <v>408.5</v>
      </c>
      <c r="E163" s="9">
        <f>RANK(C163,$C$2:$C$255)</f>
        <v>168</v>
      </c>
      <c r="F163" s="8">
        <v>245.5</v>
      </c>
      <c r="G163" s="8">
        <v>94.5</v>
      </c>
      <c r="H163" s="8">
        <v>91</v>
      </c>
      <c r="I163" s="8">
        <v>60</v>
      </c>
      <c r="J163" s="8">
        <v>39</v>
      </c>
      <c r="K163" s="8">
        <v>77</v>
      </c>
      <c r="L163" s="8">
        <v>60</v>
      </c>
      <c r="M163" s="8">
        <v>65</v>
      </c>
      <c r="N163" s="8">
        <v>64</v>
      </c>
      <c r="O163" s="8" t="s">
        <v>21</v>
      </c>
      <c r="P163" s="8" t="s">
        <v>21</v>
      </c>
      <c r="Q163" s="8" t="s">
        <v>21</v>
      </c>
      <c r="R163" s="8" t="s">
        <v>21</v>
      </c>
      <c r="S163" s="8" t="s">
        <v>21</v>
      </c>
      <c r="T163" s="8" t="s">
        <v>21</v>
      </c>
      <c r="U163" s="10">
        <v>516</v>
      </c>
      <c r="V163" s="9">
        <f>RANK(U163,$U$2:$U$255)</f>
        <v>146</v>
      </c>
      <c r="W163" s="9">
        <f>V163-E163</f>
        <v>-22</v>
      </c>
    </row>
    <row r="164" s="12" customFormat="1" spans="1:23">
      <c r="A164" s="8" t="s">
        <v>19</v>
      </c>
      <c r="B164" s="8" t="s">
        <v>187</v>
      </c>
      <c r="C164" s="8">
        <v>490.57</v>
      </c>
      <c r="D164" s="8">
        <v>470.57</v>
      </c>
      <c r="E164" s="9">
        <f>RANK(C164,$C$2:$C$255)</f>
        <v>69</v>
      </c>
      <c r="F164" s="8">
        <v>311.57</v>
      </c>
      <c r="G164" s="8">
        <v>115.5</v>
      </c>
      <c r="H164" s="8">
        <v>82</v>
      </c>
      <c r="I164" s="8">
        <v>114.07</v>
      </c>
      <c r="J164" s="8">
        <v>41</v>
      </c>
      <c r="K164" s="8">
        <v>72</v>
      </c>
      <c r="L164" s="8">
        <v>53</v>
      </c>
      <c r="M164" s="8">
        <v>66</v>
      </c>
      <c r="N164" s="8">
        <v>65</v>
      </c>
      <c r="O164" s="8" t="s">
        <v>21</v>
      </c>
      <c r="P164" s="8" t="s">
        <v>21</v>
      </c>
      <c r="Q164" s="8" t="s">
        <v>21</v>
      </c>
      <c r="R164" s="8" t="s">
        <v>21</v>
      </c>
      <c r="S164" s="8" t="s">
        <v>21</v>
      </c>
      <c r="T164" s="8" t="s">
        <v>21</v>
      </c>
      <c r="U164" s="10">
        <v>531</v>
      </c>
      <c r="V164" s="9">
        <f>RANK(U164,$U$2:$U$255)</f>
        <v>47</v>
      </c>
      <c r="W164" s="9">
        <f>V164-E164</f>
        <v>-22</v>
      </c>
    </row>
    <row r="165" s="12" customFormat="1" spans="1:23">
      <c r="A165" s="8" t="s">
        <v>22</v>
      </c>
      <c r="B165" s="8" t="s">
        <v>188</v>
      </c>
      <c r="C165" s="8">
        <v>495.32</v>
      </c>
      <c r="D165" s="8">
        <v>446.32</v>
      </c>
      <c r="E165" s="9">
        <f>RANK(C165,$C$2:$C$255)</f>
        <v>61</v>
      </c>
      <c r="F165" s="8">
        <v>300.32</v>
      </c>
      <c r="G165" s="8">
        <v>112.5</v>
      </c>
      <c r="H165" s="8">
        <v>95</v>
      </c>
      <c r="I165" s="8">
        <v>92.82</v>
      </c>
      <c r="J165" s="8">
        <v>47</v>
      </c>
      <c r="K165" s="8">
        <v>73</v>
      </c>
      <c r="L165" s="8">
        <v>54</v>
      </c>
      <c r="M165" s="8" t="s">
        <v>21</v>
      </c>
      <c r="N165" s="8" t="s">
        <v>21</v>
      </c>
      <c r="O165" s="8" t="s">
        <v>21</v>
      </c>
      <c r="P165" s="8" t="s">
        <v>21</v>
      </c>
      <c r="Q165" s="8" t="s">
        <v>21</v>
      </c>
      <c r="R165" s="8">
        <v>75</v>
      </c>
      <c r="S165" s="8">
        <v>45</v>
      </c>
      <c r="T165" s="8" t="s">
        <v>21</v>
      </c>
      <c r="U165" s="10">
        <v>532</v>
      </c>
      <c r="V165" s="9">
        <f>RANK(U165,$U$2:$U$255)</f>
        <v>38</v>
      </c>
      <c r="W165" s="9">
        <f>V165-E165</f>
        <v>-23</v>
      </c>
    </row>
    <row r="166" s="12" customFormat="1" spans="1:23">
      <c r="A166" s="8" t="s">
        <v>24</v>
      </c>
      <c r="B166" s="8" t="s">
        <v>189</v>
      </c>
      <c r="C166" s="8">
        <v>340.94</v>
      </c>
      <c r="D166" s="8">
        <v>320.94</v>
      </c>
      <c r="E166" s="9">
        <f>RANK(C166,$C$2:$C$255)</f>
        <v>235</v>
      </c>
      <c r="F166" s="8">
        <v>209.94</v>
      </c>
      <c r="G166" s="8">
        <v>98</v>
      </c>
      <c r="H166" s="8">
        <v>51</v>
      </c>
      <c r="I166" s="8">
        <v>60.94</v>
      </c>
      <c r="J166" s="8">
        <v>28</v>
      </c>
      <c r="K166" s="8">
        <v>44</v>
      </c>
      <c r="L166" s="8">
        <v>23</v>
      </c>
      <c r="M166" s="8">
        <v>59</v>
      </c>
      <c r="N166" s="8">
        <v>60</v>
      </c>
      <c r="O166" s="8" t="s">
        <v>21</v>
      </c>
      <c r="P166" s="8" t="s">
        <v>21</v>
      </c>
      <c r="Q166" s="8" t="s">
        <v>21</v>
      </c>
      <c r="R166" s="8" t="s">
        <v>21</v>
      </c>
      <c r="S166" s="8" t="s">
        <v>21</v>
      </c>
      <c r="T166" s="8" t="s">
        <v>21</v>
      </c>
      <c r="U166" s="10">
        <v>494</v>
      </c>
      <c r="V166" s="9">
        <f>RANK(U166,$U$2:$U$255)</f>
        <v>212</v>
      </c>
      <c r="W166" s="9">
        <f>V166-E166</f>
        <v>-23</v>
      </c>
    </row>
    <row r="167" s="12" customFormat="1" spans="1:23">
      <c r="A167" s="8" t="s">
        <v>37</v>
      </c>
      <c r="B167" s="8" t="s">
        <v>190</v>
      </c>
      <c r="C167" s="8">
        <v>392.75</v>
      </c>
      <c r="D167" s="8">
        <v>369.75</v>
      </c>
      <c r="E167" s="9">
        <f>RANK(C167,$C$2:$C$255)</f>
        <v>209</v>
      </c>
      <c r="F167" s="8">
        <v>240.75</v>
      </c>
      <c r="G167" s="8">
        <v>105.5</v>
      </c>
      <c r="H167" s="8">
        <v>54</v>
      </c>
      <c r="I167" s="8">
        <v>81.25</v>
      </c>
      <c r="J167" s="8">
        <v>28</v>
      </c>
      <c r="K167" s="8">
        <v>60</v>
      </c>
      <c r="L167" s="8">
        <v>37</v>
      </c>
      <c r="M167" s="8" t="s">
        <v>21</v>
      </c>
      <c r="N167" s="8" t="s">
        <v>21</v>
      </c>
      <c r="O167" s="8">
        <v>64</v>
      </c>
      <c r="P167" s="8">
        <v>64</v>
      </c>
      <c r="Q167" s="8" t="s">
        <v>21</v>
      </c>
      <c r="R167" s="8" t="s">
        <v>21</v>
      </c>
      <c r="S167" s="8" t="s">
        <v>21</v>
      </c>
      <c r="T167" s="8" t="s">
        <v>21</v>
      </c>
      <c r="U167" s="10">
        <v>505</v>
      </c>
      <c r="V167" s="9">
        <f>RANK(U167,$U$2:$U$255)</f>
        <v>186</v>
      </c>
      <c r="W167" s="9">
        <f>V167-E167</f>
        <v>-23</v>
      </c>
    </row>
    <row r="168" s="12" customFormat="1" spans="1:23">
      <c r="A168" s="8" t="s">
        <v>26</v>
      </c>
      <c r="B168" s="8" t="s">
        <v>191</v>
      </c>
      <c r="C168" s="8">
        <v>335.75</v>
      </c>
      <c r="D168" s="8">
        <v>291.75</v>
      </c>
      <c r="E168" s="9">
        <f>RANK(C168,$C$2:$C$255)</f>
        <v>236</v>
      </c>
      <c r="F168" s="8">
        <v>206.75</v>
      </c>
      <c r="G168" s="8">
        <v>97.5</v>
      </c>
      <c r="H168" s="8">
        <v>53</v>
      </c>
      <c r="I168" s="8">
        <v>56.25</v>
      </c>
      <c r="J168" s="8">
        <v>29</v>
      </c>
      <c r="K168" s="8">
        <v>30</v>
      </c>
      <c r="L168" s="8">
        <v>16</v>
      </c>
      <c r="M168" s="8" t="s">
        <v>21</v>
      </c>
      <c r="N168" s="8" t="s">
        <v>21</v>
      </c>
      <c r="O168" s="8" t="s">
        <v>21</v>
      </c>
      <c r="P168" s="8" t="s">
        <v>21</v>
      </c>
      <c r="Q168" s="8" t="s">
        <v>21</v>
      </c>
      <c r="R168" s="8">
        <v>70</v>
      </c>
      <c r="S168" s="8">
        <v>40</v>
      </c>
      <c r="T168" s="8" t="s">
        <v>21</v>
      </c>
      <c r="U168" s="10">
        <v>494</v>
      </c>
      <c r="V168" s="9">
        <f>RANK(U168,$U$2:$U$255)</f>
        <v>212</v>
      </c>
      <c r="W168" s="9">
        <f>V168-E168</f>
        <v>-24</v>
      </c>
    </row>
    <row r="169" s="12" customFormat="1" spans="1:23">
      <c r="A169" s="8" t="s">
        <v>19</v>
      </c>
      <c r="B169" s="8" t="s">
        <v>192</v>
      </c>
      <c r="C169" s="8">
        <v>456.5</v>
      </c>
      <c r="D169" s="8">
        <v>436.5</v>
      </c>
      <c r="E169" s="9">
        <f>RANK(C169,$C$2:$C$255)</f>
        <v>124</v>
      </c>
      <c r="F169" s="8">
        <v>274.5</v>
      </c>
      <c r="G169" s="8">
        <v>105.5</v>
      </c>
      <c r="H169" s="8">
        <v>69</v>
      </c>
      <c r="I169" s="8">
        <v>100</v>
      </c>
      <c r="J169" s="8">
        <v>37</v>
      </c>
      <c r="K169" s="8">
        <v>75</v>
      </c>
      <c r="L169" s="8">
        <v>57</v>
      </c>
      <c r="M169" s="8">
        <v>70</v>
      </c>
      <c r="N169" s="8">
        <v>68</v>
      </c>
      <c r="O169" s="8" t="s">
        <v>21</v>
      </c>
      <c r="P169" s="8" t="s">
        <v>21</v>
      </c>
      <c r="Q169" s="8" t="s">
        <v>21</v>
      </c>
      <c r="R169" s="8" t="s">
        <v>21</v>
      </c>
      <c r="S169" s="8" t="s">
        <v>21</v>
      </c>
      <c r="T169" s="8" t="s">
        <v>21</v>
      </c>
      <c r="U169" s="10">
        <v>526</v>
      </c>
      <c r="V169" s="9">
        <f>RANK(U169,$U$2:$U$255)</f>
        <v>100</v>
      </c>
      <c r="W169" s="9">
        <f>V169-E169</f>
        <v>-24</v>
      </c>
    </row>
    <row r="170" s="12" customFormat="1" spans="1:23">
      <c r="A170" s="8" t="s">
        <v>26</v>
      </c>
      <c r="B170" s="8" t="s">
        <v>193</v>
      </c>
      <c r="C170" s="8">
        <v>421.32</v>
      </c>
      <c r="D170" s="8">
        <v>375.32</v>
      </c>
      <c r="E170" s="9">
        <f>RANK(C170,$C$2:$C$255)</f>
        <v>179</v>
      </c>
      <c r="F170" s="8">
        <v>268.32</v>
      </c>
      <c r="G170" s="8">
        <v>111.5</v>
      </c>
      <c r="H170" s="8">
        <v>74</v>
      </c>
      <c r="I170" s="8">
        <v>82.82</v>
      </c>
      <c r="J170" s="8">
        <v>48</v>
      </c>
      <c r="K170" s="8">
        <v>50</v>
      </c>
      <c r="L170" s="8">
        <v>28</v>
      </c>
      <c r="M170" s="8" t="s">
        <v>21</v>
      </c>
      <c r="N170" s="8" t="s">
        <v>21</v>
      </c>
      <c r="O170" s="8" t="s">
        <v>21</v>
      </c>
      <c r="P170" s="8" t="s">
        <v>21</v>
      </c>
      <c r="Q170" s="8" t="s">
        <v>21</v>
      </c>
      <c r="R170" s="8">
        <v>55</v>
      </c>
      <c r="S170" s="8">
        <v>31</v>
      </c>
      <c r="T170" s="8" t="s">
        <v>21</v>
      </c>
      <c r="U170" s="10">
        <v>513</v>
      </c>
      <c r="V170" s="9">
        <f>RANK(U170,$U$2:$U$255)</f>
        <v>154</v>
      </c>
      <c r="W170" s="9">
        <f>V170-E170</f>
        <v>-25</v>
      </c>
    </row>
    <row r="171" s="12" customFormat="1" spans="1:23">
      <c r="A171" s="8" t="s">
        <v>22</v>
      </c>
      <c r="B171" s="8" t="s">
        <v>194</v>
      </c>
      <c r="C171" s="8">
        <v>425.63</v>
      </c>
      <c r="D171" s="8">
        <v>372.63</v>
      </c>
      <c r="E171" s="9">
        <f>RANK(C171,$C$2:$C$255)</f>
        <v>171</v>
      </c>
      <c r="F171" s="8">
        <v>261.63</v>
      </c>
      <c r="G171" s="8">
        <v>113.5</v>
      </c>
      <c r="H171" s="8">
        <v>55</v>
      </c>
      <c r="I171" s="8">
        <v>93.13</v>
      </c>
      <c r="J171" s="8">
        <v>37</v>
      </c>
      <c r="K171" s="8">
        <v>59</v>
      </c>
      <c r="L171" s="8">
        <v>35</v>
      </c>
      <c r="M171" s="8" t="s">
        <v>21</v>
      </c>
      <c r="N171" s="8" t="s">
        <v>21</v>
      </c>
      <c r="O171" s="8" t="s">
        <v>21</v>
      </c>
      <c r="P171" s="8" t="s">
        <v>21</v>
      </c>
      <c r="Q171" s="8" t="s">
        <v>21</v>
      </c>
      <c r="R171" s="8">
        <v>68</v>
      </c>
      <c r="S171" s="8">
        <v>39</v>
      </c>
      <c r="T171" s="8" t="s">
        <v>21</v>
      </c>
      <c r="U171" s="10">
        <v>517</v>
      </c>
      <c r="V171" s="9">
        <f>RANK(U171,$U$2:$U$255)</f>
        <v>144</v>
      </c>
      <c r="W171" s="9">
        <f>V171-E171</f>
        <v>-27</v>
      </c>
    </row>
    <row r="172" s="12" customFormat="1" spans="1:23">
      <c r="A172" s="8" t="s">
        <v>26</v>
      </c>
      <c r="B172" s="8" t="s">
        <v>195</v>
      </c>
      <c r="C172" s="8">
        <v>442.19</v>
      </c>
      <c r="D172" s="8">
        <v>392.19</v>
      </c>
      <c r="E172" s="9">
        <f>RANK(C172,$C$2:$C$255)</f>
        <v>146</v>
      </c>
      <c r="F172" s="8">
        <v>246.19</v>
      </c>
      <c r="G172" s="8">
        <v>97.5</v>
      </c>
      <c r="H172" s="8">
        <v>64</v>
      </c>
      <c r="I172" s="8">
        <v>84.69</v>
      </c>
      <c r="J172" s="8">
        <v>50</v>
      </c>
      <c r="K172" s="8">
        <v>70</v>
      </c>
      <c r="L172" s="8">
        <v>50</v>
      </c>
      <c r="M172" s="8" t="s">
        <v>21</v>
      </c>
      <c r="N172" s="8" t="s">
        <v>21</v>
      </c>
      <c r="O172" s="8" t="s">
        <v>21</v>
      </c>
      <c r="P172" s="8" t="s">
        <v>21</v>
      </c>
      <c r="Q172" s="8" t="s">
        <v>21</v>
      </c>
      <c r="R172" s="8">
        <v>76</v>
      </c>
      <c r="S172" s="8">
        <v>46</v>
      </c>
      <c r="T172" s="8" t="s">
        <v>21</v>
      </c>
      <c r="U172" s="10">
        <v>524</v>
      </c>
      <c r="V172" s="9">
        <f>RANK(U172,$U$2:$U$255)</f>
        <v>117</v>
      </c>
      <c r="W172" s="9">
        <f>V172-E172</f>
        <v>-29</v>
      </c>
    </row>
    <row r="173" s="12" customFormat="1" spans="1:23">
      <c r="A173" s="8" t="s">
        <v>26</v>
      </c>
      <c r="B173" s="8" t="s">
        <v>196</v>
      </c>
      <c r="C173" s="8">
        <v>360.75</v>
      </c>
      <c r="D173" s="8">
        <v>308.75</v>
      </c>
      <c r="E173" s="9">
        <f>RANK(C173,$C$2:$C$255)</f>
        <v>230</v>
      </c>
      <c r="F173" s="8">
        <v>183.75</v>
      </c>
      <c r="G173" s="8">
        <v>83.5</v>
      </c>
      <c r="H173" s="8">
        <v>59</v>
      </c>
      <c r="I173" s="8">
        <v>41.25</v>
      </c>
      <c r="J173" s="8">
        <v>31</v>
      </c>
      <c r="K173" s="8">
        <v>66</v>
      </c>
      <c r="L173" s="8">
        <v>44</v>
      </c>
      <c r="M173" s="8" t="s">
        <v>21</v>
      </c>
      <c r="N173" s="8" t="s">
        <v>21</v>
      </c>
      <c r="O173" s="8" t="s">
        <v>21</v>
      </c>
      <c r="P173" s="8" t="s">
        <v>21</v>
      </c>
      <c r="Q173" s="8" t="s">
        <v>21</v>
      </c>
      <c r="R173" s="8">
        <v>80</v>
      </c>
      <c r="S173" s="8">
        <v>50</v>
      </c>
      <c r="T173" s="8" t="s">
        <v>21</v>
      </c>
      <c r="U173" s="10">
        <v>501</v>
      </c>
      <c r="V173" s="9">
        <f>RANK(U173,$U$2:$U$255)</f>
        <v>199</v>
      </c>
      <c r="W173" s="9">
        <f>V173-E173</f>
        <v>-31</v>
      </c>
    </row>
    <row r="174" s="12" customFormat="1" spans="1:23">
      <c r="A174" s="8" t="s">
        <v>22</v>
      </c>
      <c r="B174" s="8" t="s">
        <v>197</v>
      </c>
      <c r="C174" s="8">
        <v>465.94</v>
      </c>
      <c r="D174" s="8">
        <v>417.94</v>
      </c>
      <c r="E174" s="9">
        <f>RANK(C174,$C$2:$C$255)</f>
        <v>104</v>
      </c>
      <c r="F174" s="8">
        <v>280.94</v>
      </c>
      <c r="G174" s="8">
        <v>109</v>
      </c>
      <c r="H174" s="8">
        <v>76</v>
      </c>
      <c r="I174" s="8">
        <v>95.94</v>
      </c>
      <c r="J174" s="8">
        <v>51</v>
      </c>
      <c r="K174" s="8">
        <v>69</v>
      </c>
      <c r="L174" s="8">
        <v>49</v>
      </c>
      <c r="M174" s="8" t="s">
        <v>21</v>
      </c>
      <c r="N174" s="8" t="s">
        <v>21</v>
      </c>
      <c r="O174" s="8" t="s">
        <v>21</v>
      </c>
      <c r="P174" s="8" t="s">
        <v>21</v>
      </c>
      <c r="Q174" s="8" t="s">
        <v>21</v>
      </c>
      <c r="R174" s="8">
        <v>65</v>
      </c>
      <c r="S174" s="8">
        <v>37</v>
      </c>
      <c r="T174" s="8" t="s">
        <v>21</v>
      </c>
      <c r="U174" s="10">
        <v>529</v>
      </c>
      <c r="V174" s="9">
        <f>RANK(U174,$U$2:$U$255)</f>
        <v>71</v>
      </c>
      <c r="W174" s="9">
        <f>V174-E174</f>
        <v>-33</v>
      </c>
    </row>
    <row r="175" s="12" customFormat="1" spans="1:23">
      <c r="A175" s="8" t="s">
        <v>19</v>
      </c>
      <c r="B175" s="8" t="s">
        <v>198</v>
      </c>
      <c r="C175" s="8">
        <v>517.82</v>
      </c>
      <c r="D175" s="8">
        <v>502.82</v>
      </c>
      <c r="E175" s="9">
        <f>RANK(C175,$C$2:$C$255)</f>
        <v>38</v>
      </c>
      <c r="F175" s="8">
        <v>294.82</v>
      </c>
      <c r="G175" s="8">
        <v>114</v>
      </c>
      <c r="H175" s="8">
        <v>98</v>
      </c>
      <c r="I175" s="8">
        <v>82.82</v>
      </c>
      <c r="J175" s="8">
        <v>57</v>
      </c>
      <c r="K175" s="8">
        <v>88</v>
      </c>
      <c r="L175" s="8">
        <v>77</v>
      </c>
      <c r="M175" s="8">
        <v>78</v>
      </c>
      <c r="N175" s="8">
        <v>74</v>
      </c>
      <c r="O175" s="8" t="s">
        <v>21</v>
      </c>
      <c r="P175" s="8" t="s">
        <v>21</v>
      </c>
      <c r="Q175" s="8" t="s">
        <v>21</v>
      </c>
      <c r="R175" s="8" t="s">
        <v>21</v>
      </c>
      <c r="S175" s="8" t="s">
        <v>21</v>
      </c>
      <c r="T175" s="8" t="s">
        <v>21</v>
      </c>
      <c r="U175" s="10">
        <v>544</v>
      </c>
      <c r="V175" s="9">
        <f>RANK(U175,$U$2:$U$255)</f>
        <v>5</v>
      </c>
      <c r="W175" s="9">
        <f>V175-E175</f>
        <v>-33</v>
      </c>
    </row>
    <row r="176" s="12" customFormat="1" spans="1:23">
      <c r="A176" s="8" t="s">
        <v>22</v>
      </c>
      <c r="B176" s="8" t="s">
        <v>199</v>
      </c>
      <c r="C176" s="8">
        <v>510.88</v>
      </c>
      <c r="D176" s="8">
        <v>464.88</v>
      </c>
      <c r="E176" s="9">
        <f>RANK(C176,$C$2:$C$255)</f>
        <v>44</v>
      </c>
      <c r="F176" s="8">
        <v>305.88</v>
      </c>
      <c r="G176" s="8">
        <v>107</v>
      </c>
      <c r="H176" s="8">
        <v>97</v>
      </c>
      <c r="I176" s="8">
        <v>101.88</v>
      </c>
      <c r="J176" s="8">
        <v>44</v>
      </c>
      <c r="K176" s="8">
        <v>77</v>
      </c>
      <c r="L176" s="8">
        <v>61</v>
      </c>
      <c r="M176" s="8" t="s">
        <v>21</v>
      </c>
      <c r="N176" s="8" t="s">
        <v>21</v>
      </c>
      <c r="O176" s="8" t="s">
        <v>21</v>
      </c>
      <c r="P176" s="8" t="s">
        <v>21</v>
      </c>
      <c r="Q176" s="8" t="s">
        <v>21</v>
      </c>
      <c r="R176" s="8">
        <v>84</v>
      </c>
      <c r="S176" s="8">
        <v>54</v>
      </c>
      <c r="T176" s="8" t="s">
        <v>21</v>
      </c>
      <c r="U176" s="10">
        <v>540</v>
      </c>
      <c r="V176" s="9">
        <f>RANK(U176,$U$2:$U$255)</f>
        <v>10</v>
      </c>
      <c r="W176" s="9">
        <f>V176-E176</f>
        <v>-34</v>
      </c>
    </row>
    <row r="177" s="12" customFormat="1" spans="1:23">
      <c r="A177" s="8" t="s">
        <v>19</v>
      </c>
      <c r="B177" s="8" t="s">
        <v>200</v>
      </c>
      <c r="C177" s="8">
        <v>500.44</v>
      </c>
      <c r="D177" s="8">
        <v>494.44</v>
      </c>
      <c r="E177" s="9">
        <f>RANK(C177,$C$2:$C$255)</f>
        <v>52</v>
      </c>
      <c r="F177" s="8">
        <v>329.44</v>
      </c>
      <c r="G177" s="8">
        <v>113</v>
      </c>
      <c r="H177" s="8">
        <v>93</v>
      </c>
      <c r="I177" s="8">
        <v>123.44</v>
      </c>
      <c r="J177" s="8">
        <v>50</v>
      </c>
      <c r="K177" s="8">
        <v>76</v>
      </c>
      <c r="L177" s="8">
        <v>59</v>
      </c>
      <c r="M177" s="8">
        <v>45</v>
      </c>
      <c r="N177" s="8">
        <v>56</v>
      </c>
      <c r="O177" s="8" t="s">
        <v>21</v>
      </c>
      <c r="P177" s="8" t="s">
        <v>21</v>
      </c>
      <c r="Q177" s="8" t="s">
        <v>21</v>
      </c>
      <c r="R177" s="8" t="s">
        <v>21</v>
      </c>
      <c r="S177" s="8" t="s">
        <v>21</v>
      </c>
      <c r="T177" s="8" t="s">
        <v>21</v>
      </c>
      <c r="U177" s="10">
        <v>535</v>
      </c>
      <c r="V177" s="9">
        <f>RANK(U177,$U$2:$U$255)</f>
        <v>18</v>
      </c>
      <c r="W177" s="9">
        <f>V177-E177</f>
        <v>-34</v>
      </c>
    </row>
    <row r="178" s="12" customFormat="1" spans="1:23">
      <c r="A178" s="8" t="s">
        <v>24</v>
      </c>
      <c r="B178" s="8" t="s">
        <v>201</v>
      </c>
      <c r="C178" s="8">
        <v>408.57</v>
      </c>
      <c r="D178" s="8">
        <v>385.57</v>
      </c>
      <c r="E178" s="9">
        <f>RANK(C178,$C$2:$C$255)</f>
        <v>196</v>
      </c>
      <c r="F178" s="8">
        <v>251.57</v>
      </c>
      <c r="G178" s="8">
        <v>103</v>
      </c>
      <c r="H178" s="8">
        <v>72</v>
      </c>
      <c r="I178" s="8">
        <v>76.57</v>
      </c>
      <c r="J178" s="8">
        <v>20</v>
      </c>
      <c r="K178" s="8">
        <v>66</v>
      </c>
      <c r="L178" s="8">
        <v>45</v>
      </c>
      <c r="M178" s="8">
        <v>71</v>
      </c>
      <c r="N178" s="8">
        <v>69</v>
      </c>
      <c r="O178" s="8" t="s">
        <v>21</v>
      </c>
      <c r="P178" s="8" t="s">
        <v>21</v>
      </c>
      <c r="Q178" s="8" t="s">
        <v>21</v>
      </c>
      <c r="R178" s="8" t="s">
        <v>21</v>
      </c>
      <c r="S178" s="8" t="s">
        <v>21</v>
      </c>
      <c r="T178" s="8" t="s">
        <v>21</v>
      </c>
      <c r="U178" s="10">
        <v>511</v>
      </c>
      <c r="V178" s="9">
        <f>RANK(U178,$U$2:$U$255)</f>
        <v>162</v>
      </c>
      <c r="W178" s="9">
        <f>V178-E178</f>
        <v>-34</v>
      </c>
    </row>
    <row r="179" s="12" customFormat="1" spans="1:23">
      <c r="A179" s="8" t="s">
        <v>37</v>
      </c>
      <c r="B179" s="8" t="s">
        <v>202</v>
      </c>
      <c r="C179" s="8">
        <v>380.07</v>
      </c>
      <c r="D179" s="8">
        <v>358.07</v>
      </c>
      <c r="E179" s="9">
        <f>RANK(C179,$C$2:$C$255)</f>
        <v>220</v>
      </c>
      <c r="F179" s="8">
        <v>233.07</v>
      </c>
      <c r="G179" s="8">
        <v>102</v>
      </c>
      <c r="H179" s="8">
        <v>62</v>
      </c>
      <c r="I179" s="8">
        <v>69.07</v>
      </c>
      <c r="J179" s="8">
        <v>18</v>
      </c>
      <c r="K179" s="8">
        <v>54</v>
      </c>
      <c r="L179" s="8">
        <v>31</v>
      </c>
      <c r="M179" s="8" t="s">
        <v>21</v>
      </c>
      <c r="N179" s="8" t="s">
        <v>21</v>
      </c>
      <c r="O179" s="8">
        <v>75</v>
      </c>
      <c r="P179" s="8">
        <v>76</v>
      </c>
      <c r="Q179" s="8" t="s">
        <v>21</v>
      </c>
      <c r="R179" s="8" t="s">
        <v>21</v>
      </c>
      <c r="S179" s="8" t="s">
        <v>21</v>
      </c>
      <c r="T179" s="8" t="s">
        <v>21</v>
      </c>
      <c r="U179" s="10">
        <v>505</v>
      </c>
      <c r="V179" s="9">
        <f>RANK(U179,$U$2:$U$255)</f>
        <v>186</v>
      </c>
      <c r="W179" s="9">
        <f>V179-E179</f>
        <v>-34</v>
      </c>
    </row>
    <row r="180" s="12" customFormat="1" spans="1:23">
      <c r="A180" s="8" t="s">
        <v>26</v>
      </c>
      <c r="B180" s="8" t="s">
        <v>203</v>
      </c>
      <c r="C180" s="8">
        <v>406.75</v>
      </c>
      <c r="D180" s="8">
        <v>353.75</v>
      </c>
      <c r="E180" s="9">
        <f>RANK(C180,$C$2:$C$255)</f>
        <v>200</v>
      </c>
      <c r="F180" s="8">
        <v>249.75</v>
      </c>
      <c r="G180" s="8">
        <v>107.5</v>
      </c>
      <c r="H180" s="8">
        <v>61</v>
      </c>
      <c r="I180" s="8">
        <v>81.25</v>
      </c>
      <c r="J180" s="8">
        <v>25</v>
      </c>
      <c r="K180" s="8">
        <v>61</v>
      </c>
      <c r="L180" s="8">
        <v>38</v>
      </c>
      <c r="M180" s="8" t="s">
        <v>21</v>
      </c>
      <c r="N180" s="8" t="s">
        <v>21</v>
      </c>
      <c r="O180" s="8" t="s">
        <v>21</v>
      </c>
      <c r="P180" s="8" t="s">
        <v>21</v>
      </c>
      <c r="Q180" s="8" t="s">
        <v>21</v>
      </c>
      <c r="R180" s="8">
        <v>71</v>
      </c>
      <c r="S180" s="8">
        <v>41</v>
      </c>
      <c r="T180" s="8" t="s">
        <v>21</v>
      </c>
      <c r="U180" s="10">
        <v>511</v>
      </c>
      <c r="V180" s="9">
        <f>RANK(U180,$U$2:$U$255)</f>
        <v>162</v>
      </c>
      <c r="W180" s="9">
        <f>V180-E180</f>
        <v>-38</v>
      </c>
    </row>
    <row r="181" s="12" customFormat="1" spans="1:23">
      <c r="A181" s="8" t="s">
        <v>37</v>
      </c>
      <c r="B181" s="8" t="s">
        <v>204</v>
      </c>
      <c r="C181" s="8">
        <v>499.25</v>
      </c>
      <c r="D181" s="8">
        <v>484.25</v>
      </c>
      <c r="E181" s="9">
        <f>RANK(C181,$C$2:$C$255)</f>
        <v>53</v>
      </c>
      <c r="F181" s="8">
        <v>303.25</v>
      </c>
      <c r="G181" s="8">
        <v>113</v>
      </c>
      <c r="H181" s="8">
        <v>64</v>
      </c>
      <c r="I181" s="8">
        <v>126.25</v>
      </c>
      <c r="J181" s="8">
        <v>41</v>
      </c>
      <c r="K181" s="8">
        <v>75</v>
      </c>
      <c r="L181" s="8">
        <v>58</v>
      </c>
      <c r="M181" s="8" t="s">
        <v>21</v>
      </c>
      <c r="N181" s="8" t="s">
        <v>21</v>
      </c>
      <c r="O181" s="8">
        <v>80</v>
      </c>
      <c r="P181" s="8">
        <v>82</v>
      </c>
      <c r="Q181" s="8" t="s">
        <v>21</v>
      </c>
      <c r="R181" s="8" t="s">
        <v>21</v>
      </c>
      <c r="S181" s="8" t="s">
        <v>21</v>
      </c>
      <c r="T181" s="8" t="s">
        <v>21</v>
      </c>
      <c r="U181" s="10">
        <v>536</v>
      </c>
      <c r="V181" s="9">
        <f>RANK(U181,$U$2:$U$255)</f>
        <v>15</v>
      </c>
      <c r="W181" s="9">
        <f>V181-E181</f>
        <v>-38</v>
      </c>
    </row>
    <row r="182" s="12" customFormat="1" spans="1:23">
      <c r="A182" s="8" t="s">
        <v>22</v>
      </c>
      <c r="B182" s="8" t="s">
        <v>205</v>
      </c>
      <c r="C182" s="8">
        <v>462.69</v>
      </c>
      <c r="D182" s="8">
        <v>414.69</v>
      </c>
      <c r="E182" s="9">
        <f>RANK(C182,$C$2:$C$255)</f>
        <v>110</v>
      </c>
      <c r="F182" s="8">
        <v>292.69</v>
      </c>
      <c r="G182" s="8">
        <v>108</v>
      </c>
      <c r="H182" s="8">
        <v>65</v>
      </c>
      <c r="I182" s="8">
        <v>119.69</v>
      </c>
      <c r="J182" s="8">
        <v>34</v>
      </c>
      <c r="K182" s="8">
        <v>70</v>
      </c>
      <c r="L182" s="8">
        <v>50</v>
      </c>
      <c r="M182" s="8" t="s">
        <v>21</v>
      </c>
      <c r="N182" s="8" t="s">
        <v>21</v>
      </c>
      <c r="O182" s="8" t="s">
        <v>21</v>
      </c>
      <c r="P182" s="8" t="s">
        <v>21</v>
      </c>
      <c r="Q182" s="8" t="s">
        <v>21</v>
      </c>
      <c r="R182" s="8">
        <v>66</v>
      </c>
      <c r="S182" s="8">
        <v>38</v>
      </c>
      <c r="T182" s="8" t="s">
        <v>21</v>
      </c>
      <c r="U182" s="10">
        <v>529</v>
      </c>
      <c r="V182" s="9">
        <f>RANK(U182,$U$2:$U$255)</f>
        <v>71</v>
      </c>
      <c r="W182" s="9">
        <f>V182-E182</f>
        <v>-39</v>
      </c>
    </row>
    <row r="183" s="12" customFormat="1" spans="1:23">
      <c r="A183" s="8" t="s">
        <v>24</v>
      </c>
      <c r="B183" s="8" t="s">
        <v>206</v>
      </c>
      <c r="C183" s="8">
        <v>447.63</v>
      </c>
      <c r="D183" s="8">
        <v>426.63</v>
      </c>
      <c r="E183" s="9">
        <f>RANK(C183,$C$2:$C$255)</f>
        <v>139</v>
      </c>
      <c r="F183" s="8">
        <v>284.63</v>
      </c>
      <c r="G183" s="8">
        <v>118.5</v>
      </c>
      <c r="H183" s="8">
        <v>78</v>
      </c>
      <c r="I183" s="8">
        <v>88.13</v>
      </c>
      <c r="J183" s="8">
        <v>26</v>
      </c>
      <c r="K183" s="8">
        <v>72</v>
      </c>
      <c r="L183" s="8">
        <v>52</v>
      </c>
      <c r="M183" s="8">
        <v>65</v>
      </c>
      <c r="N183" s="8">
        <v>64</v>
      </c>
      <c r="O183" s="8" t="s">
        <v>21</v>
      </c>
      <c r="P183" s="8" t="s">
        <v>21</v>
      </c>
      <c r="Q183" s="8" t="s">
        <v>21</v>
      </c>
      <c r="R183" s="8" t="s">
        <v>21</v>
      </c>
      <c r="S183" s="8" t="s">
        <v>21</v>
      </c>
      <c r="T183" s="8" t="s">
        <v>21</v>
      </c>
      <c r="U183" s="10">
        <v>526</v>
      </c>
      <c r="V183" s="9">
        <f>RANK(U183,$U$2:$U$255)</f>
        <v>100</v>
      </c>
      <c r="W183" s="9">
        <f>V183-E183</f>
        <v>-39</v>
      </c>
    </row>
    <row r="184" s="12" customFormat="1" spans="1:23">
      <c r="A184" s="8" t="s">
        <v>24</v>
      </c>
      <c r="B184" s="8" t="s">
        <v>207</v>
      </c>
      <c r="C184" s="8">
        <v>436</v>
      </c>
      <c r="D184" s="8">
        <v>414</v>
      </c>
      <c r="E184" s="9">
        <f>RANK(C184,$C$2:$C$255)</f>
        <v>156</v>
      </c>
      <c r="F184" s="8">
        <v>268</v>
      </c>
      <c r="G184" s="8">
        <v>106.5</v>
      </c>
      <c r="H184" s="8">
        <v>74</v>
      </c>
      <c r="I184" s="8">
        <v>87.5</v>
      </c>
      <c r="J184" s="8">
        <v>37</v>
      </c>
      <c r="K184" s="8">
        <v>66</v>
      </c>
      <c r="L184" s="8">
        <v>45</v>
      </c>
      <c r="M184" s="8">
        <v>65</v>
      </c>
      <c r="N184" s="8">
        <v>64</v>
      </c>
      <c r="O184" s="8" t="s">
        <v>21</v>
      </c>
      <c r="P184" s="8" t="s">
        <v>21</v>
      </c>
      <c r="Q184" s="8" t="s">
        <v>21</v>
      </c>
      <c r="R184" s="8" t="s">
        <v>21</v>
      </c>
      <c r="S184" s="8" t="s">
        <v>21</v>
      </c>
      <c r="T184" s="8" t="s">
        <v>21</v>
      </c>
      <c r="U184" s="10">
        <v>524</v>
      </c>
      <c r="V184" s="9">
        <f>RANK(U184,$U$2:$U$255)</f>
        <v>117</v>
      </c>
      <c r="W184" s="9">
        <f>V184-E184</f>
        <v>-39</v>
      </c>
    </row>
    <row r="185" s="12" customFormat="1" spans="1:23">
      <c r="A185" s="8" t="s">
        <v>24</v>
      </c>
      <c r="B185" s="8" t="s">
        <v>208</v>
      </c>
      <c r="C185" s="8">
        <v>433.88</v>
      </c>
      <c r="D185" s="8">
        <v>409.88</v>
      </c>
      <c r="E185" s="9">
        <f>RANK(C185,$C$2:$C$255)</f>
        <v>159</v>
      </c>
      <c r="F185" s="8">
        <v>269.88</v>
      </c>
      <c r="G185" s="8">
        <v>93.5</v>
      </c>
      <c r="H185" s="8">
        <v>72</v>
      </c>
      <c r="I185" s="8">
        <v>104.38</v>
      </c>
      <c r="J185" s="8">
        <v>45</v>
      </c>
      <c r="K185" s="8">
        <v>54</v>
      </c>
      <c r="L185" s="8">
        <v>31</v>
      </c>
      <c r="M185" s="8">
        <v>65</v>
      </c>
      <c r="N185" s="8">
        <v>64</v>
      </c>
      <c r="O185" s="8" t="s">
        <v>21</v>
      </c>
      <c r="P185" s="8" t="s">
        <v>21</v>
      </c>
      <c r="Q185" s="8" t="s">
        <v>21</v>
      </c>
      <c r="R185" s="8" t="s">
        <v>21</v>
      </c>
      <c r="S185" s="8" t="s">
        <v>21</v>
      </c>
      <c r="T185" s="8" t="s">
        <v>21</v>
      </c>
      <c r="U185" s="10">
        <v>524</v>
      </c>
      <c r="V185" s="9">
        <f>RANK(U185,$U$2:$U$255)</f>
        <v>117</v>
      </c>
      <c r="W185" s="9">
        <f>V185-E185</f>
        <v>-42</v>
      </c>
    </row>
    <row r="186" s="12" customFormat="1" spans="1:23">
      <c r="A186" s="8" t="s">
        <v>37</v>
      </c>
      <c r="B186" s="8" t="s">
        <v>209</v>
      </c>
      <c r="C186" s="8">
        <v>498</v>
      </c>
      <c r="D186" s="8">
        <v>479</v>
      </c>
      <c r="E186" s="9">
        <f>RANK(C186,$C$2:$C$255)</f>
        <v>55</v>
      </c>
      <c r="F186" s="8">
        <v>303</v>
      </c>
      <c r="G186" s="8">
        <v>106</v>
      </c>
      <c r="H186" s="8">
        <v>67</v>
      </c>
      <c r="I186" s="8">
        <v>130</v>
      </c>
      <c r="J186" s="8">
        <v>49</v>
      </c>
      <c r="K186" s="8">
        <v>70</v>
      </c>
      <c r="L186" s="8">
        <v>50</v>
      </c>
      <c r="M186" s="8" t="s">
        <v>21</v>
      </c>
      <c r="N186" s="8" t="s">
        <v>21</v>
      </c>
      <c r="O186" s="8">
        <v>76</v>
      </c>
      <c r="P186" s="8">
        <v>77</v>
      </c>
      <c r="Q186" s="8" t="s">
        <v>21</v>
      </c>
      <c r="R186" s="8" t="s">
        <v>21</v>
      </c>
      <c r="S186" s="8" t="s">
        <v>21</v>
      </c>
      <c r="T186" s="8" t="s">
        <v>21</v>
      </c>
      <c r="U186" s="10">
        <v>539</v>
      </c>
      <c r="V186" s="9">
        <f>RANK(U186,$U$2:$U$255)</f>
        <v>11</v>
      </c>
      <c r="W186" s="9">
        <f>V186-E186</f>
        <v>-44</v>
      </c>
    </row>
    <row r="187" s="12" customFormat="1" spans="1:23">
      <c r="A187" s="8" t="s">
        <v>24</v>
      </c>
      <c r="B187" s="8" t="s">
        <v>210</v>
      </c>
      <c r="C187" s="8">
        <v>391.63</v>
      </c>
      <c r="D187" s="8">
        <v>369.63</v>
      </c>
      <c r="E187" s="9">
        <f>RANK(C187,$C$2:$C$255)</f>
        <v>212</v>
      </c>
      <c r="F187" s="8">
        <v>217.63</v>
      </c>
      <c r="G187" s="8">
        <v>90.5</v>
      </c>
      <c r="H187" s="8">
        <v>64</v>
      </c>
      <c r="I187" s="8">
        <v>63.13</v>
      </c>
      <c r="J187" s="8">
        <v>52</v>
      </c>
      <c r="K187" s="8">
        <v>63</v>
      </c>
      <c r="L187" s="8">
        <v>40</v>
      </c>
      <c r="M187" s="8">
        <v>59</v>
      </c>
      <c r="N187" s="8">
        <v>60</v>
      </c>
      <c r="O187" s="8" t="s">
        <v>21</v>
      </c>
      <c r="P187" s="8" t="s">
        <v>21</v>
      </c>
      <c r="Q187" s="8" t="s">
        <v>21</v>
      </c>
      <c r="R187" s="8" t="s">
        <v>21</v>
      </c>
      <c r="S187" s="8" t="s">
        <v>21</v>
      </c>
      <c r="T187" s="8" t="s">
        <v>21</v>
      </c>
      <c r="U187" s="10">
        <v>510</v>
      </c>
      <c r="V187" s="9">
        <f>RANK(U187,$U$2:$U$255)</f>
        <v>167</v>
      </c>
      <c r="W187" s="9">
        <f>V187-E187</f>
        <v>-45</v>
      </c>
    </row>
    <row r="188" s="12" customFormat="1" spans="1:23">
      <c r="A188" s="8" t="s">
        <v>24</v>
      </c>
      <c r="B188" s="8" t="s">
        <v>211</v>
      </c>
      <c r="C188" s="8">
        <v>355.82</v>
      </c>
      <c r="D188" s="8">
        <v>337.82</v>
      </c>
      <c r="E188" s="9">
        <f>RANK(C188,$C$2:$C$255)</f>
        <v>232</v>
      </c>
      <c r="F188" s="8">
        <v>223.82</v>
      </c>
      <c r="G188" s="8">
        <v>113</v>
      </c>
      <c r="H188" s="8">
        <v>48</v>
      </c>
      <c r="I188" s="8">
        <v>62.82</v>
      </c>
      <c r="J188" s="8">
        <v>27</v>
      </c>
      <c r="K188" s="8">
        <v>51</v>
      </c>
      <c r="L188" s="8">
        <v>29</v>
      </c>
      <c r="M188" s="8">
        <v>54</v>
      </c>
      <c r="N188" s="8">
        <v>58</v>
      </c>
      <c r="O188" s="8" t="s">
        <v>21</v>
      </c>
      <c r="P188" s="8" t="s">
        <v>21</v>
      </c>
      <c r="Q188" s="8" t="s">
        <v>21</v>
      </c>
      <c r="R188" s="8" t="s">
        <v>21</v>
      </c>
      <c r="S188" s="8" t="s">
        <v>21</v>
      </c>
      <c r="T188" s="8" t="s">
        <v>21</v>
      </c>
      <c r="U188" s="10">
        <v>505</v>
      </c>
      <c r="V188" s="9">
        <f>RANK(U188,$U$2:$U$255)</f>
        <v>186</v>
      </c>
      <c r="W188" s="9">
        <f>V188-E188</f>
        <v>-46</v>
      </c>
    </row>
    <row r="189" s="12" customFormat="1" spans="1:23">
      <c r="A189" s="8" t="s">
        <v>37</v>
      </c>
      <c r="B189" s="8" t="s">
        <v>212</v>
      </c>
      <c r="C189" s="8">
        <v>488.32</v>
      </c>
      <c r="D189" s="8">
        <v>471.32</v>
      </c>
      <c r="E189" s="9">
        <f>RANK(C189,$C$2:$C$255)</f>
        <v>70</v>
      </c>
      <c r="F189" s="8">
        <v>301.32</v>
      </c>
      <c r="G189" s="8">
        <v>116</v>
      </c>
      <c r="H189" s="8">
        <v>90</v>
      </c>
      <c r="I189" s="8">
        <v>95.32</v>
      </c>
      <c r="J189" s="8">
        <v>34</v>
      </c>
      <c r="K189" s="8">
        <v>72</v>
      </c>
      <c r="L189" s="8">
        <v>53</v>
      </c>
      <c r="M189" s="8" t="s">
        <v>21</v>
      </c>
      <c r="N189" s="8" t="s">
        <v>21</v>
      </c>
      <c r="O189" s="8">
        <v>81</v>
      </c>
      <c r="P189" s="8">
        <v>83</v>
      </c>
      <c r="Q189" s="8" t="s">
        <v>21</v>
      </c>
      <c r="R189" s="8" t="s">
        <v>21</v>
      </c>
      <c r="S189" s="8" t="s">
        <v>21</v>
      </c>
      <c r="T189" s="8" t="s">
        <v>21</v>
      </c>
      <c r="U189" s="10">
        <v>534</v>
      </c>
      <c r="V189" s="9">
        <f>RANK(U189,$U$2:$U$255)</f>
        <v>23</v>
      </c>
      <c r="W189" s="9">
        <f>V189-E189</f>
        <v>-47</v>
      </c>
    </row>
    <row r="190" s="12" customFormat="1" spans="1:23">
      <c r="A190" s="8" t="s">
        <v>24</v>
      </c>
      <c r="B190" s="8" t="s">
        <v>213</v>
      </c>
      <c r="C190" s="8">
        <v>397.38</v>
      </c>
      <c r="D190" s="8">
        <v>382.38</v>
      </c>
      <c r="E190" s="9">
        <f>RANK(C190,$C$2:$C$255)</f>
        <v>205</v>
      </c>
      <c r="F190" s="8">
        <v>264.38</v>
      </c>
      <c r="G190" s="8">
        <v>97.5</v>
      </c>
      <c r="H190" s="8">
        <v>65</v>
      </c>
      <c r="I190" s="8">
        <v>101.88</v>
      </c>
      <c r="J190" s="8">
        <v>33</v>
      </c>
      <c r="K190" s="8">
        <v>50</v>
      </c>
      <c r="L190" s="8">
        <v>28</v>
      </c>
      <c r="M190" s="8">
        <v>50</v>
      </c>
      <c r="N190" s="8">
        <v>57</v>
      </c>
      <c r="O190" s="8" t="s">
        <v>21</v>
      </c>
      <c r="P190" s="8" t="s">
        <v>21</v>
      </c>
      <c r="Q190" s="8" t="s">
        <v>21</v>
      </c>
      <c r="R190" s="8" t="s">
        <v>21</v>
      </c>
      <c r="S190" s="8" t="s">
        <v>21</v>
      </c>
      <c r="T190" s="8" t="s">
        <v>21</v>
      </c>
      <c r="U190" s="10">
        <v>512</v>
      </c>
      <c r="V190" s="9">
        <f>RANK(U190,$U$2:$U$255)</f>
        <v>157</v>
      </c>
      <c r="W190" s="9">
        <f>V190-E190</f>
        <v>-48</v>
      </c>
    </row>
    <row r="191" s="12" customFormat="1" spans="1:23">
      <c r="A191" s="8" t="s">
        <v>19</v>
      </c>
      <c r="B191" s="8" t="s">
        <v>214</v>
      </c>
      <c r="C191" s="8">
        <v>475.75</v>
      </c>
      <c r="D191" s="8">
        <v>456.75</v>
      </c>
      <c r="E191" s="9">
        <f>RANK(C191,$C$2:$C$255)</f>
        <v>88</v>
      </c>
      <c r="F191" s="8">
        <v>294.75</v>
      </c>
      <c r="G191" s="8">
        <v>120.5</v>
      </c>
      <c r="H191" s="8">
        <v>68</v>
      </c>
      <c r="I191" s="8">
        <v>106.25</v>
      </c>
      <c r="J191" s="8">
        <v>41</v>
      </c>
      <c r="K191" s="8">
        <v>73</v>
      </c>
      <c r="L191" s="8">
        <v>55</v>
      </c>
      <c r="M191" s="8">
        <v>67</v>
      </c>
      <c r="N191" s="8">
        <v>66</v>
      </c>
      <c r="O191" s="8" t="s">
        <v>21</v>
      </c>
      <c r="P191" s="8" t="s">
        <v>21</v>
      </c>
      <c r="Q191" s="8" t="s">
        <v>21</v>
      </c>
      <c r="R191" s="8" t="s">
        <v>21</v>
      </c>
      <c r="S191" s="8" t="s">
        <v>21</v>
      </c>
      <c r="T191" s="8" t="s">
        <v>21</v>
      </c>
      <c r="U191" s="10">
        <v>532</v>
      </c>
      <c r="V191" s="9">
        <f>RANK(U191,$U$2:$U$255)</f>
        <v>38</v>
      </c>
      <c r="W191" s="9">
        <f>V191-E191</f>
        <v>-50</v>
      </c>
    </row>
    <row r="192" s="12" customFormat="1" spans="1:23">
      <c r="A192" s="8" t="s">
        <v>24</v>
      </c>
      <c r="B192" s="8" t="s">
        <v>215</v>
      </c>
      <c r="C192" s="8">
        <v>408</v>
      </c>
      <c r="D192" s="8">
        <v>381</v>
      </c>
      <c r="E192" s="9">
        <f>RANK(C192,$C$2:$C$255)</f>
        <v>197</v>
      </c>
      <c r="F192" s="8">
        <v>235</v>
      </c>
      <c r="G192" s="8">
        <v>112.5</v>
      </c>
      <c r="H192" s="8">
        <v>45</v>
      </c>
      <c r="I192" s="8">
        <v>77.5</v>
      </c>
      <c r="J192" s="8">
        <v>40</v>
      </c>
      <c r="K192" s="8">
        <v>54</v>
      </c>
      <c r="L192" s="8">
        <v>31</v>
      </c>
      <c r="M192" s="8">
        <v>79</v>
      </c>
      <c r="N192" s="8">
        <v>75</v>
      </c>
      <c r="O192" s="8" t="s">
        <v>21</v>
      </c>
      <c r="P192" s="8" t="s">
        <v>21</v>
      </c>
      <c r="Q192" s="8" t="s">
        <v>21</v>
      </c>
      <c r="R192" s="8" t="s">
        <v>21</v>
      </c>
      <c r="S192" s="8" t="s">
        <v>21</v>
      </c>
      <c r="T192" s="8" t="s">
        <v>21</v>
      </c>
      <c r="U192" s="10">
        <v>516</v>
      </c>
      <c r="V192" s="9">
        <f>RANK(U192,$U$2:$U$255)</f>
        <v>146</v>
      </c>
      <c r="W192" s="9">
        <f>V192-E192</f>
        <v>-51</v>
      </c>
    </row>
    <row r="193" s="12" customFormat="1" spans="1:23">
      <c r="A193" s="8" t="s">
        <v>37</v>
      </c>
      <c r="B193" s="8" t="s">
        <v>216</v>
      </c>
      <c r="C193" s="8">
        <v>449.94</v>
      </c>
      <c r="D193" s="8">
        <v>432.94</v>
      </c>
      <c r="E193" s="9">
        <f>RANK(C193,$C$2:$C$255)</f>
        <v>136</v>
      </c>
      <c r="F193" s="8">
        <v>252.94</v>
      </c>
      <c r="G193" s="8">
        <v>110</v>
      </c>
      <c r="H193" s="8">
        <v>72</v>
      </c>
      <c r="I193" s="8">
        <v>70.94</v>
      </c>
      <c r="J193" s="8">
        <v>56</v>
      </c>
      <c r="K193" s="8">
        <v>77</v>
      </c>
      <c r="L193" s="8">
        <v>60</v>
      </c>
      <c r="M193" s="8" t="s">
        <v>21</v>
      </c>
      <c r="N193" s="8" t="s">
        <v>21</v>
      </c>
      <c r="O193" s="8">
        <v>64</v>
      </c>
      <c r="P193" s="8">
        <v>64</v>
      </c>
      <c r="Q193" s="8" t="s">
        <v>21</v>
      </c>
      <c r="R193" s="8" t="s">
        <v>21</v>
      </c>
      <c r="S193" s="8" t="s">
        <v>21</v>
      </c>
      <c r="T193" s="8" t="s">
        <v>21</v>
      </c>
      <c r="U193" s="10">
        <v>527</v>
      </c>
      <c r="V193" s="9">
        <f>RANK(U193,$U$2:$U$255)</f>
        <v>85</v>
      </c>
      <c r="W193" s="9">
        <f>V193-E193</f>
        <v>-51</v>
      </c>
    </row>
    <row r="194" s="12" customFormat="1" spans="1:23">
      <c r="A194" s="8" t="s">
        <v>37</v>
      </c>
      <c r="B194" s="8" t="s">
        <v>217</v>
      </c>
      <c r="C194" s="8">
        <v>492.19</v>
      </c>
      <c r="D194" s="8">
        <v>472.19</v>
      </c>
      <c r="E194" s="9">
        <f>RANK(C194,$C$2:$C$255)</f>
        <v>66</v>
      </c>
      <c r="F194" s="8">
        <v>289.19</v>
      </c>
      <c r="G194" s="8">
        <v>127</v>
      </c>
      <c r="H194" s="8">
        <v>60</v>
      </c>
      <c r="I194" s="8">
        <v>102.19</v>
      </c>
      <c r="J194" s="8">
        <v>59</v>
      </c>
      <c r="K194" s="8">
        <v>64</v>
      </c>
      <c r="L194" s="8">
        <v>42</v>
      </c>
      <c r="M194" s="8" t="s">
        <v>21</v>
      </c>
      <c r="N194" s="8" t="s">
        <v>21</v>
      </c>
      <c r="O194" s="8">
        <v>80</v>
      </c>
      <c r="P194" s="8">
        <v>82</v>
      </c>
      <c r="Q194" s="8" t="s">
        <v>21</v>
      </c>
      <c r="R194" s="8" t="s">
        <v>21</v>
      </c>
      <c r="S194" s="8" t="s">
        <v>21</v>
      </c>
      <c r="T194" s="8" t="s">
        <v>21</v>
      </c>
      <c r="U194" s="10">
        <v>536</v>
      </c>
      <c r="V194" s="9">
        <f>RANK(U194,$U$2:$U$255)</f>
        <v>15</v>
      </c>
      <c r="W194" s="9">
        <f>V194-E194</f>
        <v>-51</v>
      </c>
    </row>
    <row r="195" s="12" customFormat="1" spans="1:23">
      <c r="A195" s="8" t="s">
        <v>26</v>
      </c>
      <c r="B195" s="8" t="s">
        <v>218</v>
      </c>
      <c r="C195" s="8">
        <v>342.44</v>
      </c>
      <c r="D195" s="8">
        <v>301.44</v>
      </c>
      <c r="E195" s="9">
        <f>RANK(C195,$C$2:$C$255)</f>
        <v>234</v>
      </c>
      <c r="F195" s="8">
        <v>228.44</v>
      </c>
      <c r="G195" s="8">
        <v>97</v>
      </c>
      <c r="H195" s="8">
        <v>48</v>
      </c>
      <c r="I195" s="8">
        <v>83.44</v>
      </c>
      <c r="J195" s="8">
        <v>25</v>
      </c>
      <c r="K195" s="8">
        <v>48</v>
      </c>
      <c r="L195" s="8">
        <v>26</v>
      </c>
      <c r="M195" s="8" t="s">
        <v>21</v>
      </c>
      <c r="N195" s="8" t="s">
        <v>21</v>
      </c>
      <c r="O195" s="8" t="s">
        <v>21</v>
      </c>
      <c r="P195" s="8" t="s">
        <v>21</v>
      </c>
      <c r="Q195" s="8" t="s">
        <v>21</v>
      </c>
      <c r="R195" s="8">
        <v>41</v>
      </c>
      <c r="S195" s="8">
        <v>22</v>
      </c>
      <c r="T195" s="8" t="s">
        <v>21</v>
      </c>
      <c r="U195" s="10">
        <v>508</v>
      </c>
      <c r="V195" s="9">
        <f>RANK(U195,$U$2:$U$255)</f>
        <v>178</v>
      </c>
      <c r="W195" s="9">
        <f>V195-E195</f>
        <v>-56</v>
      </c>
    </row>
    <row r="196" s="12" customFormat="1" spans="1:23">
      <c r="A196" s="8" t="s">
        <v>24</v>
      </c>
      <c r="B196" s="8" t="s">
        <v>219</v>
      </c>
      <c r="C196" s="8">
        <v>453.5</v>
      </c>
      <c r="D196" s="8">
        <v>432.5</v>
      </c>
      <c r="E196" s="9">
        <f>RANK(C196,$C$2:$C$255)</f>
        <v>129</v>
      </c>
      <c r="F196" s="8">
        <v>270.5</v>
      </c>
      <c r="G196" s="8">
        <v>110.5</v>
      </c>
      <c r="H196" s="8">
        <v>65</v>
      </c>
      <c r="I196" s="8">
        <v>95</v>
      </c>
      <c r="J196" s="8">
        <v>42</v>
      </c>
      <c r="K196" s="8">
        <v>72</v>
      </c>
      <c r="L196" s="8">
        <v>53</v>
      </c>
      <c r="M196" s="8">
        <v>69</v>
      </c>
      <c r="N196" s="8">
        <v>67</v>
      </c>
      <c r="O196" s="8" t="s">
        <v>21</v>
      </c>
      <c r="P196" s="8" t="s">
        <v>21</v>
      </c>
      <c r="Q196" s="8" t="s">
        <v>21</v>
      </c>
      <c r="R196" s="8" t="s">
        <v>21</v>
      </c>
      <c r="S196" s="8" t="s">
        <v>21</v>
      </c>
      <c r="T196" s="8" t="s">
        <v>21</v>
      </c>
      <c r="U196" s="10">
        <v>529</v>
      </c>
      <c r="V196" s="9">
        <f>RANK(U196,$U$2:$U$255)</f>
        <v>71</v>
      </c>
      <c r="W196" s="9">
        <f>V196-E196</f>
        <v>-58</v>
      </c>
    </row>
    <row r="197" s="12" customFormat="1" spans="1:23">
      <c r="A197" s="8" t="s">
        <v>37</v>
      </c>
      <c r="B197" s="8" t="s">
        <v>220</v>
      </c>
      <c r="C197" s="8">
        <v>478.69</v>
      </c>
      <c r="D197" s="8">
        <v>459.69</v>
      </c>
      <c r="E197" s="9">
        <f>RANK(C197,$C$2:$C$255)</f>
        <v>81</v>
      </c>
      <c r="F197" s="8">
        <v>282.69</v>
      </c>
      <c r="G197" s="8">
        <v>120.5</v>
      </c>
      <c r="H197" s="8">
        <v>65</v>
      </c>
      <c r="I197" s="8">
        <v>97.19</v>
      </c>
      <c r="J197" s="8">
        <v>44</v>
      </c>
      <c r="K197" s="8">
        <v>69</v>
      </c>
      <c r="L197" s="8">
        <v>48</v>
      </c>
      <c r="M197" s="8" t="s">
        <v>21</v>
      </c>
      <c r="N197" s="8" t="s">
        <v>21</v>
      </c>
      <c r="O197" s="8">
        <v>83</v>
      </c>
      <c r="P197" s="8">
        <v>85</v>
      </c>
      <c r="Q197" s="8" t="s">
        <v>21</v>
      </c>
      <c r="R197" s="8" t="s">
        <v>21</v>
      </c>
      <c r="S197" s="8" t="s">
        <v>21</v>
      </c>
      <c r="T197" s="8" t="s">
        <v>21</v>
      </c>
      <c r="U197" s="10">
        <v>534</v>
      </c>
      <c r="V197" s="9">
        <f>RANK(U197,$U$2:$U$255)</f>
        <v>23</v>
      </c>
      <c r="W197" s="9">
        <f>V197-E197</f>
        <v>-58</v>
      </c>
    </row>
    <row r="198" s="12" customFormat="1" spans="1:23">
      <c r="A198" s="8" t="s">
        <v>24</v>
      </c>
      <c r="B198" s="8" t="s">
        <v>221</v>
      </c>
      <c r="C198" s="8">
        <v>408</v>
      </c>
      <c r="D198" s="8">
        <v>383</v>
      </c>
      <c r="E198" s="9">
        <f>RANK(C198,$C$2:$C$255)</f>
        <v>197</v>
      </c>
      <c r="F198" s="8">
        <v>233</v>
      </c>
      <c r="G198" s="8">
        <v>100</v>
      </c>
      <c r="H198" s="8">
        <v>63</v>
      </c>
      <c r="I198" s="8">
        <v>70</v>
      </c>
      <c r="J198" s="8">
        <v>30</v>
      </c>
      <c r="K198" s="8">
        <v>68</v>
      </c>
      <c r="L198" s="8">
        <v>47</v>
      </c>
      <c r="M198" s="8">
        <v>77</v>
      </c>
      <c r="N198" s="8">
        <v>73</v>
      </c>
      <c r="O198" s="8" t="s">
        <v>21</v>
      </c>
      <c r="P198" s="8" t="s">
        <v>21</v>
      </c>
      <c r="Q198" s="8" t="s">
        <v>21</v>
      </c>
      <c r="R198" s="8" t="s">
        <v>21</v>
      </c>
      <c r="S198" s="8" t="s">
        <v>21</v>
      </c>
      <c r="T198" s="8" t="s">
        <v>21</v>
      </c>
      <c r="U198" s="10">
        <v>521</v>
      </c>
      <c r="V198" s="9">
        <f>RANK(U198,$U$2:$U$255)</f>
        <v>138</v>
      </c>
      <c r="W198" s="9">
        <f>V198-E198</f>
        <v>-59</v>
      </c>
    </row>
    <row r="199" s="12" customFormat="1" spans="1:23">
      <c r="A199" s="8" t="s">
        <v>24</v>
      </c>
      <c r="B199" s="8" t="s">
        <v>222</v>
      </c>
      <c r="C199" s="8">
        <v>362.44</v>
      </c>
      <c r="D199" s="8">
        <v>341.44</v>
      </c>
      <c r="E199" s="9">
        <f>RANK(C199,$C$2:$C$255)</f>
        <v>229</v>
      </c>
      <c r="F199" s="8">
        <v>235.44</v>
      </c>
      <c r="G199" s="8">
        <v>106</v>
      </c>
      <c r="H199" s="8">
        <v>36</v>
      </c>
      <c r="I199" s="8">
        <v>93.44</v>
      </c>
      <c r="J199" s="8">
        <v>20</v>
      </c>
      <c r="K199" s="8">
        <v>41</v>
      </c>
      <c r="L199" s="8">
        <v>21</v>
      </c>
      <c r="M199" s="8">
        <v>66</v>
      </c>
      <c r="N199" s="8">
        <v>65</v>
      </c>
      <c r="O199" s="8" t="s">
        <v>21</v>
      </c>
      <c r="P199" s="8" t="s">
        <v>21</v>
      </c>
      <c r="Q199" s="8" t="s">
        <v>21</v>
      </c>
      <c r="R199" s="8" t="s">
        <v>21</v>
      </c>
      <c r="S199" s="8" t="s">
        <v>21</v>
      </c>
      <c r="T199" s="8" t="s">
        <v>21</v>
      </c>
      <c r="U199" s="10">
        <v>510</v>
      </c>
      <c r="V199" s="9">
        <f>RANK(U199,$U$2:$U$255)</f>
        <v>167</v>
      </c>
      <c r="W199" s="9">
        <f>V199-E199</f>
        <v>-62</v>
      </c>
    </row>
    <row r="200" s="12" customFormat="1" spans="1:23">
      <c r="A200" s="8" t="s">
        <v>19</v>
      </c>
      <c r="B200" s="8" t="s">
        <v>223</v>
      </c>
      <c r="C200" s="8">
        <v>484.32</v>
      </c>
      <c r="D200" s="8">
        <v>461.32</v>
      </c>
      <c r="E200" s="9">
        <f>RANK(C200,$C$2:$C$255)</f>
        <v>77</v>
      </c>
      <c r="F200" s="8">
        <v>287.32</v>
      </c>
      <c r="G200" s="8">
        <v>107.5</v>
      </c>
      <c r="H200" s="8">
        <v>82</v>
      </c>
      <c r="I200" s="8">
        <v>97.82</v>
      </c>
      <c r="J200" s="8">
        <v>40</v>
      </c>
      <c r="K200" s="8">
        <v>74</v>
      </c>
      <c r="L200" s="8">
        <v>56</v>
      </c>
      <c r="M200" s="8">
        <v>83</v>
      </c>
      <c r="N200" s="8">
        <v>78</v>
      </c>
      <c r="O200" s="8" t="s">
        <v>21</v>
      </c>
      <c r="P200" s="8" t="s">
        <v>21</v>
      </c>
      <c r="Q200" s="8" t="s">
        <v>21</v>
      </c>
      <c r="R200" s="8" t="s">
        <v>21</v>
      </c>
      <c r="S200" s="8" t="s">
        <v>21</v>
      </c>
      <c r="T200" s="8" t="s">
        <v>21</v>
      </c>
      <c r="U200" s="10">
        <v>538</v>
      </c>
      <c r="V200" s="9">
        <f>RANK(U200,$U$2:$U$255)</f>
        <v>13</v>
      </c>
      <c r="W200" s="9">
        <f>V200-E200</f>
        <v>-64</v>
      </c>
    </row>
    <row r="201" s="12" customFormat="1" spans="1:23">
      <c r="A201" s="8" t="s">
        <v>19</v>
      </c>
      <c r="B201" s="8" t="s">
        <v>224</v>
      </c>
      <c r="C201" s="8">
        <v>418.32</v>
      </c>
      <c r="D201" s="8">
        <v>395.32</v>
      </c>
      <c r="E201" s="9">
        <f>RANK(C201,$C$2:$C$255)</f>
        <v>181</v>
      </c>
      <c r="F201" s="8">
        <v>249.32</v>
      </c>
      <c r="G201" s="8">
        <v>88.5</v>
      </c>
      <c r="H201" s="8">
        <v>63</v>
      </c>
      <c r="I201" s="8">
        <v>97.82</v>
      </c>
      <c r="J201" s="8">
        <v>39</v>
      </c>
      <c r="K201" s="8">
        <v>63</v>
      </c>
      <c r="L201" s="8">
        <v>41</v>
      </c>
      <c r="M201" s="8">
        <v>67</v>
      </c>
      <c r="N201" s="8">
        <v>66</v>
      </c>
      <c r="O201" s="8" t="s">
        <v>21</v>
      </c>
      <c r="P201" s="8" t="s">
        <v>21</v>
      </c>
      <c r="Q201" s="8" t="s">
        <v>21</v>
      </c>
      <c r="R201" s="8" t="s">
        <v>21</v>
      </c>
      <c r="S201" s="8" t="s">
        <v>21</v>
      </c>
      <c r="T201" s="8" t="s">
        <v>21</v>
      </c>
      <c r="U201" s="10">
        <v>524</v>
      </c>
      <c r="V201" s="9">
        <f>RANK(U201,$U$2:$U$255)</f>
        <v>117</v>
      </c>
      <c r="W201" s="9">
        <f>V201-E201</f>
        <v>-64</v>
      </c>
    </row>
    <row r="202" s="12" customFormat="1" spans="1:23">
      <c r="A202" s="8" t="s">
        <v>24</v>
      </c>
      <c r="B202" s="8" t="s">
        <v>225</v>
      </c>
      <c r="C202" s="8">
        <v>482.88</v>
      </c>
      <c r="D202" s="8">
        <v>460.88</v>
      </c>
      <c r="E202" s="9">
        <f>RANK(C202,$C$2:$C$255)</f>
        <v>79</v>
      </c>
      <c r="F202" s="8">
        <v>298.88</v>
      </c>
      <c r="G202" s="8">
        <v>109.5</v>
      </c>
      <c r="H202" s="8">
        <v>85</v>
      </c>
      <c r="I202" s="8">
        <v>104.38</v>
      </c>
      <c r="J202" s="8">
        <v>42</v>
      </c>
      <c r="K202" s="8">
        <v>72</v>
      </c>
      <c r="L202" s="8">
        <v>52</v>
      </c>
      <c r="M202" s="8">
        <v>70</v>
      </c>
      <c r="N202" s="8">
        <v>68</v>
      </c>
      <c r="O202" s="8" t="s">
        <v>21</v>
      </c>
      <c r="P202" s="8" t="s">
        <v>21</v>
      </c>
      <c r="Q202" s="8" t="s">
        <v>21</v>
      </c>
      <c r="R202" s="8" t="s">
        <v>21</v>
      </c>
      <c r="S202" s="8" t="s">
        <v>21</v>
      </c>
      <c r="T202" s="8" t="s">
        <v>21</v>
      </c>
      <c r="U202" s="10">
        <v>536</v>
      </c>
      <c r="V202" s="9">
        <f>RANK(U202,$U$2:$U$255)</f>
        <v>15</v>
      </c>
      <c r="W202" s="9">
        <f>V202-E202</f>
        <v>-64</v>
      </c>
    </row>
    <row r="203" s="12" customFormat="1" spans="1:23">
      <c r="A203" s="8" t="s">
        <v>26</v>
      </c>
      <c r="B203" s="8" t="s">
        <v>226</v>
      </c>
      <c r="C203" s="8">
        <v>392.94</v>
      </c>
      <c r="D203" s="8">
        <v>342.94</v>
      </c>
      <c r="E203" s="9">
        <f>RANK(C203,$C$2:$C$255)</f>
        <v>208</v>
      </c>
      <c r="F203" s="8">
        <v>231.94</v>
      </c>
      <c r="G203" s="8">
        <v>97.5</v>
      </c>
      <c r="H203" s="8">
        <v>61</v>
      </c>
      <c r="I203" s="8">
        <v>73.44</v>
      </c>
      <c r="J203" s="8">
        <v>27</v>
      </c>
      <c r="K203" s="8">
        <v>66</v>
      </c>
      <c r="L203" s="8">
        <v>45</v>
      </c>
      <c r="M203" s="8" t="s">
        <v>21</v>
      </c>
      <c r="N203" s="8" t="s">
        <v>21</v>
      </c>
      <c r="O203" s="8" t="s">
        <v>21</v>
      </c>
      <c r="P203" s="8" t="s">
        <v>21</v>
      </c>
      <c r="Q203" s="8" t="s">
        <v>21</v>
      </c>
      <c r="R203" s="8">
        <v>68</v>
      </c>
      <c r="S203" s="8">
        <v>39</v>
      </c>
      <c r="T203" s="8" t="s">
        <v>21</v>
      </c>
      <c r="U203" s="10">
        <v>522</v>
      </c>
      <c r="V203" s="9">
        <f>RANK(U203,$U$2:$U$255)</f>
        <v>137</v>
      </c>
      <c r="W203" s="9">
        <f>V203-E203</f>
        <v>-71</v>
      </c>
    </row>
    <row r="204" s="12" customFormat="1" spans="1:23">
      <c r="A204" s="8" t="s">
        <v>22</v>
      </c>
      <c r="B204" s="8" t="s">
        <v>227</v>
      </c>
      <c r="C204" s="8">
        <v>435.75</v>
      </c>
      <c r="D204" s="8">
        <v>403.75</v>
      </c>
      <c r="E204" s="9">
        <f>RANK(C204,$C$2:$C$255)</f>
        <v>157</v>
      </c>
      <c r="F204" s="8">
        <v>294.75</v>
      </c>
      <c r="G204" s="8">
        <v>105.5</v>
      </c>
      <c r="H204" s="8">
        <v>73</v>
      </c>
      <c r="I204" s="8">
        <v>116.25</v>
      </c>
      <c r="J204" s="8">
        <v>42</v>
      </c>
      <c r="K204" s="8">
        <v>69</v>
      </c>
      <c r="L204" s="8">
        <v>48</v>
      </c>
      <c r="M204" s="8" t="s">
        <v>21</v>
      </c>
      <c r="N204" s="8" t="s">
        <v>21</v>
      </c>
      <c r="O204" s="8" t="s">
        <v>21</v>
      </c>
      <c r="P204" s="8" t="s">
        <v>21</v>
      </c>
      <c r="Q204" s="8" t="s">
        <v>21</v>
      </c>
      <c r="R204" s="8">
        <v>30</v>
      </c>
      <c r="S204" s="8">
        <v>19</v>
      </c>
      <c r="T204" s="8" t="s">
        <v>21</v>
      </c>
      <c r="U204" s="10">
        <v>527</v>
      </c>
      <c r="V204" s="9">
        <f>RANK(U204,$U$2:$U$255)</f>
        <v>85</v>
      </c>
      <c r="W204" s="9">
        <f>V204-E204</f>
        <v>-72</v>
      </c>
    </row>
    <row r="205" s="12" customFormat="1" spans="1:23">
      <c r="A205" s="8" t="s">
        <v>19</v>
      </c>
      <c r="B205" s="8" t="s">
        <v>228</v>
      </c>
      <c r="C205" s="8">
        <v>470.69</v>
      </c>
      <c r="D205" s="8">
        <v>448.69</v>
      </c>
      <c r="E205" s="9">
        <f>RANK(C205,$C$2:$C$255)</f>
        <v>95</v>
      </c>
      <c r="F205" s="8">
        <v>285.69</v>
      </c>
      <c r="G205" s="8">
        <v>103</v>
      </c>
      <c r="H205" s="8">
        <v>73</v>
      </c>
      <c r="I205" s="8">
        <v>109.69</v>
      </c>
      <c r="J205" s="8">
        <v>50</v>
      </c>
      <c r="K205" s="8">
        <v>69</v>
      </c>
      <c r="L205" s="8">
        <v>48</v>
      </c>
      <c r="M205" s="8">
        <v>66</v>
      </c>
      <c r="N205" s="8">
        <v>65</v>
      </c>
      <c r="O205" s="8" t="s">
        <v>21</v>
      </c>
      <c r="P205" s="8" t="s">
        <v>21</v>
      </c>
      <c r="Q205" s="8" t="s">
        <v>21</v>
      </c>
      <c r="R205" s="8" t="s">
        <v>21</v>
      </c>
      <c r="S205" s="8" t="s">
        <v>21</v>
      </c>
      <c r="T205" s="8" t="s">
        <v>21</v>
      </c>
      <c r="U205" s="10">
        <v>534</v>
      </c>
      <c r="V205" s="9">
        <f>RANK(U205,$U$2:$U$255)</f>
        <v>23</v>
      </c>
      <c r="W205" s="9">
        <f>V205-E205</f>
        <v>-72</v>
      </c>
    </row>
    <row r="206" s="12" customFormat="1" spans="1:23">
      <c r="A206" s="8" t="s">
        <v>24</v>
      </c>
      <c r="B206" s="8" t="s">
        <v>229</v>
      </c>
      <c r="C206" s="8">
        <v>370.13</v>
      </c>
      <c r="D206" s="8">
        <v>346.13</v>
      </c>
      <c r="E206" s="9">
        <f>RANK(C206,$C$2:$C$255)</f>
        <v>226</v>
      </c>
      <c r="F206" s="8">
        <v>222.13</v>
      </c>
      <c r="G206" s="8">
        <v>104</v>
      </c>
      <c r="H206" s="8">
        <v>60</v>
      </c>
      <c r="I206" s="8">
        <v>58.13</v>
      </c>
      <c r="J206" s="8">
        <v>28</v>
      </c>
      <c r="K206" s="8">
        <v>55</v>
      </c>
      <c r="L206" s="8">
        <v>32</v>
      </c>
      <c r="M206" s="8">
        <v>65</v>
      </c>
      <c r="N206" s="8">
        <v>64</v>
      </c>
      <c r="O206" s="8" t="s">
        <v>21</v>
      </c>
      <c r="P206" s="8" t="s">
        <v>21</v>
      </c>
      <c r="Q206" s="8" t="s">
        <v>21</v>
      </c>
      <c r="R206" s="8" t="s">
        <v>21</v>
      </c>
      <c r="S206" s="8" t="s">
        <v>21</v>
      </c>
      <c r="T206" s="8" t="s">
        <v>21</v>
      </c>
      <c r="U206" s="10">
        <v>513</v>
      </c>
      <c r="V206" s="9">
        <f>RANK(U206,$U$2:$U$255)</f>
        <v>154</v>
      </c>
      <c r="W206" s="9">
        <f>V206-E206</f>
        <v>-72</v>
      </c>
    </row>
    <row r="207" s="12" customFormat="1" spans="1:23">
      <c r="A207" s="8" t="s">
        <v>26</v>
      </c>
      <c r="B207" s="8" t="s">
        <v>230</v>
      </c>
      <c r="C207" s="8">
        <v>401.25</v>
      </c>
      <c r="D207" s="8">
        <v>351.25</v>
      </c>
      <c r="E207" s="9">
        <f>RANK(C207,$C$2:$C$255)</f>
        <v>203</v>
      </c>
      <c r="F207" s="8">
        <v>263.25</v>
      </c>
      <c r="G207" s="8">
        <v>100.5</v>
      </c>
      <c r="H207" s="8">
        <v>49</v>
      </c>
      <c r="I207" s="8">
        <v>113.75</v>
      </c>
      <c r="J207" s="8">
        <v>22</v>
      </c>
      <c r="K207" s="8">
        <v>51</v>
      </c>
      <c r="L207" s="8">
        <v>29</v>
      </c>
      <c r="M207" s="8" t="s">
        <v>21</v>
      </c>
      <c r="N207" s="8" t="s">
        <v>21</v>
      </c>
      <c r="O207" s="8" t="s">
        <v>21</v>
      </c>
      <c r="P207" s="8" t="s">
        <v>21</v>
      </c>
      <c r="Q207" s="8" t="s">
        <v>21</v>
      </c>
      <c r="R207" s="8">
        <v>65</v>
      </c>
      <c r="S207" s="8">
        <v>37</v>
      </c>
      <c r="T207" s="8" t="s">
        <v>21</v>
      </c>
      <c r="U207" s="10">
        <v>523</v>
      </c>
      <c r="V207" s="9">
        <f>RANK(U207,$U$2:$U$255)</f>
        <v>130</v>
      </c>
      <c r="W207" s="9">
        <f>V207-E207</f>
        <v>-73</v>
      </c>
    </row>
    <row r="208" s="12" customFormat="1" spans="1:23">
      <c r="A208" s="8" t="s">
        <v>37</v>
      </c>
      <c r="B208" s="8" t="s">
        <v>231</v>
      </c>
      <c r="C208" s="8">
        <v>462.19</v>
      </c>
      <c r="D208" s="8">
        <v>447.19</v>
      </c>
      <c r="E208" s="9">
        <f>RANK(C208,$C$2:$C$255)</f>
        <v>111</v>
      </c>
      <c r="F208" s="8">
        <v>263.19</v>
      </c>
      <c r="G208" s="8">
        <v>112</v>
      </c>
      <c r="H208" s="8">
        <v>69</v>
      </c>
      <c r="I208" s="8">
        <v>82.19</v>
      </c>
      <c r="J208" s="8">
        <v>42</v>
      </c>
      <c r="K208" s="8">
        <v>75</v>
      </c>
      <c r="L208" s="8">
        <v>58</v>
      </c>
      <c r="M208" s="8" t="s">
        <v>21</v>
      </c>
      <c r="N208" s="8" t="s">
        <v>21</v>
      </c>
      <c r="O208" s="8">
        <v>82</v>
      </c>
      <c r="P208" s="8">
        <v>84</v>
      </c>
      <c r="Q208" s="8" t="s">
        <v>21</v>
      </c>
      <c r="R208" s="8" t="s">
        <v>21</v>
      </c>
      <c r="S208" s="8" t="s">
        <v>21</v>
      </c>
      <c r="T208" s="8" t="s">
        <v>21</v>
      </c>
      <c r="U208" s="10">
        <v>532</v>
      </c>
      <c r="V208" s="9">
        <f>RANK(U208,$U$2:$U$255)</f>
        <v>38</v>
      </c>
      <c r="W208" s="9">
        <f>V208-E208</f>
        <v>-73</v>
      </c>
    </row>
    <row r="209" s="12" customFormat="1" spans="1:23">
      <c r="A209" s="8" t="s">
        <v>37</v>
      </c>
      <c r="B209" s="8" t="s">
        <v>232</v>
      </c>
      <c r="C209" s="8">
        <v>398.94</v>
      </c>
      <c r="D209" s="8">
        <v>377.94</v>
      </c>
      <c r="E209" s="9">
        <f>RANK(C209,$C$2:$C$255)</f>
        <v>204</v>
      </c>
      <c r="F209" s="8">
        <v>235.94</v>
      </c>
      <c r="G209" s="8">
        <v>106</v>
      </c>
      <c r="H209" s="8">
        <v>64</v>
      </c>
      <c r="I209" s="8">
        <v>65.94</v>
      </c>
      <c r="J209" s="8">
        <v>30</v>
      </c>
      <c r="K209" s="8">
        <v>66</v>
      </c>
      <c r="L209" s="8">
        <v>44</v>
      </c>
      <c r="M209" s="8" t="s">
        <v>21</v>
      </c>
      <c r="N209" s="8" t="s">
        <v>21</v>
      </c>
      <c r="O209" s="8">
        <v>67</v>
      </c>
      <c r="P209" s="8">
        <v>68</v>
      </c>
      <c r="Q209" s="8" t="s">
        <v>21</v>
      </c>
      <c r="R209" s="8" t="s">
        <v>21</v>
      </c>
      <c r="S209" s="8" t="s">
        <v>21</v>
      </c>
      <c r="T209" s="8" t="s">
        <v>21</v>
      </c>
      <c r="U209" s="10">
        <v>523</v>
      </c>
      <c r="V209" s="9">
        <f>RANK(U209,$U$2:$U$255)</f>
        <v>130</v>
      </c>
      <c r="W209" s="9">
        <f>V209-E209</f>
        <v>-74</v>
      </c>
    </row>
    <row r="210" s="12" customFormat="1" spans="1:23">
      <c r="A210" s="8" t="s">
        <v>22</v>
      </c>
      <c r="B210" s="8" t="s">
        <v>233</v>
      </c>
      <c r="C210" s="8">
        <v>453.75</v>
      </c>
      <c r="D210" s="8">
        <v>401.75</v>
      </c>
      <c r="E210" s="9">
        <f>RANK(C210,$C$2:$C$255)</f>
        <v>128</v>
      </c>
      <c r="F210" s="8">
        <v>257.75</v>
      </c>
      <c r="G210" s="8">
        <v>101</v>
      </c>
      <c r="H210" s="8">
        <v>78</v>
      </c>
      <c r="I210" s="8">
        <v>78.75</v>
      </c>
      <c r="J210" s="8">
        <v>30</v>
      </c>
      <c r="K210" s="8">
        <v>70</v>
      </c>
      <c r="L210" s="8">
        <v>50</v>
      </c>
      <c r="M210" s="8" t="s">
        <v>21</v>
      </c>
      <c r="N210" s="8" t="s">
        <v>21</v>
      </c>
      <c r="O210" s="8" t="s">
        <v>21</v>
      </c>
      <c r="P210" s="8" t="s">
        <v>21</v>
      </c>
      <c r="Q210" s="8" t="s">
        <v>21</v>
      </c>
      <c r="R210" s="8">
        <v>96</v>
      </c>
      <c r="S210" s="8">
        <v>64</v>
      </c>
      <c r="T210" s="8" t="s">
        <v>21</v>
      </c>
      <c r="U210" s="10">
        <v>531</v>
      </c>
      <c r="V210" s="9">
        <f>RANK(U210,$U$2:$U$255)</f>
        <v>47</v>
      </c>
      <c r="W210" s="9">
        <f>V210-E210</f>
        <v>-81</v>
      </c>
    </row>
    <row r="211" s="12" customFormat="1" spans="1:23">
      <c r="A211" s="8" t="s">
        <v>24</v>
      </c>
      <c r="B211" s="8" t="s">
        <v>234</v>
      </c>
      <c r="C211" s="8">
        <v>407.94</v>
      </c>
      <c r="D211" s="8">
        <v>389.94</v>
      </c>
      <c r="E211" s="9">
        <f>RANK(C211,$C$2:$C$255)</f>
        <v>199</v>
      </c>
      <c r="F211" s="8">
        <v>232.94</v>
      </c>
      <c r="G211" s="8">
        <v>111.5</v>
      </c>
      <c r="H211" s="8">
        <v>53</v>
      </c>
      <c r="I211" s="8">
        <v>68.44</v>
      </c>
      <c r="J211" s="8">
        <v>38</v>
      </c>
      <c r="K211" s="8">
        <v>74</v>
      </c>
      <c r="L211" s="8">
        <v>56</v>
      </c>
      <c r="M211" s="8">
        <v>63</v>
      </c>
      <c r="N211" s="8">
        <v>63</v>
      </c>
      <c r="O211" s="8" t="s">
        <v>21</v>
      </c>
      <c r="P211" s="8" t="s">
        <v>21</v>
      </c>
      <c r="Q211" s="8" t="s">
        <v>21</v>
      </c>
      <c r="R211" s="8" t="s">
        <v>21</v>
      </c>
      <c r="S211" s="8" t="s">
        <v>21</v>
      </c>
      <c r="T211" s="8" t="s">
        <v>21</v>
      </c>
      <c r="U211" s="10">
        <v>524</v>
      </c>
      <c r="V211" s="9">
        <f>RANK(U211,$U$2:$U$255)</f>
        <v>117</v>
      </c>
      <c r="W211" s="9">
        <f>V211-E211</f>
        <v>-82</v>
      </c>
    </row>
    <row r="212" s="12" customFormat="1" spans="1:23">
      <c r="A212" s="8" t="s">
        <v>37</v>
      </c>
      <c r="B212" s="8" t="s">
        <v>235</v>
      </c>
      <c r="C212" s="8">
        <v>464.69</v>
      </c>
      <c r="D212" s="8">
        <v>448.69</v>
      </c>
      <c r="E212" s="9">
        <f>RANK(C212,$C$2:$C$255)</f>
        <v>107</v>
      </c>
      <c r="F212" s="8">
        <v>257.69</v>
      </c>
      <c r="G212" s="8">
        <v>110</v>
      </c>
      <c r="H212" s="8">
        <v>68</v>
      </c>
      <c r="I212" s="8">
        <v>79.69</v>
      </c>
      <c r="J212" s="8">
        <v>61</v>
      </c>
      <c r="K212" s="8">
        <v>76</v>
      </c>
      <c r="L212" s="8">
        <v>59</v>
      </c>
      <c r="M212" s="8" t="s">
        <v>21</v>
      </c>
      <c r="N212" s="8" t="s">
        <v>21</v>
      </c>
      <c r="O212" s="8">
        <v>70</v>
      </c>
      <c r="P212" s="8">
        <v>71</v>
      </c>
      <c r="Q212" s="8" t="s">
        <v>21</v>
      </c>
      <c r="R212" s="8" t="s">
        <v>21</v>
      </c>
      <c r="S212" s="8" t="s">
        <v>21</v>
      </c>
      <c r="T212" s="8" t="s">
        <v>21</v>
      </c>
      <c r="U212" s="10">
        <v>534</v>
      </c>
      <c r="V212" s="9">
        <f>RANK(U212,$U$2:$U$255)</f>
        <v>23</v>
      </c>
      <c r="W212" s="9">
        <f>V212-E212</f>
        <v>-84</v>
      </c>
    </row>
    <row r="213" s="12" customFormat="1" spans="1:23">
      <c r="A213" s="8" t="s">
        <v>19</v>
      </c>
      <c r="B213" s="8" t="s">
        <v>236</v>
      </c>
      <c r="C213" s="8">
        <v>459.07</v>
      </c>
      <c r="D213" s="8">
        <v>436.07</v>
      </c>
      <c r="E213" s="9">
        <f>RANK(C213,$C$2:$C$255)</f>
        <v>118</v>
      </c>
      <c r="F213" s="8">
        <v>263.07</v>
      </c>
      <c r="G213" s="8">
        <v>113</v>
      </c>
      <c r="H213" s="8">
        <v>66</v>
      </c>
      <c r="I213" s="8">
        <v>84.07</v>
      </c>
      <c r="J213" s="8">
        <v>59</v>
      </c>
      <c r="K213" s="8">
        <v>68</v>
      </c>
      <c r="L213" s="8">
        <v>47</v>
      </c>
      <c r="M213" s="8">
        <v>69</v>
      </c>
      <c r="N213" s="8">
        <v>67</v>
      </c>
      <c r="O213" s="8" t="s">
        <v>21</v>
      </c>
      <c r="P213" s="8" t="s">
        <v>21</v>
      </c>
      <c r="Q213" s="8" t="s">
        <v>21</v>
      </c>
      <c r="R213" s="8" t="s">
        <v>21</v>
      </c>
      <c r="S213" s="8" t="s">
        <v>21</v>
      </c>
      <c r="T213" s="8" t="s">
        <v>21</v>
      </c>
      <c r="U213" s="10">
        <v>533</v>
      </c>
      <c r="V213" s="9">
        <f>RANK(U213,$U$2:$U$255)</f>
        <v>33</v>
      </c>
      <c r="W213" s="9">
        <f>V213-E213</f>
        <v>-85</v>
      </c>
    </row>
    <row r="214" s="12" customFormat="1" spans="1:23">
      <c r="A214" s="8" t="s">
        <v>24</v>
      </c>
      <c r="B214" s="8" t="s">
        <v>237</v>
      </c>
      <c r="C214" s="8">
        <v>450.94</v>
      </c>
      <c r="D214" s="8">
        <v>423.94</v>
      </c>
      <c r="E214" s="9">
        <f>RANK(C214,$C$2:$C$255)</f>
        <v>133</v>
      </c>
      <c r="F214" s="8">
        <v>266.94</v>
      </c>
      <c r="G214" s="8">
        <v>103.5</v>
      </c>
      <c r="H214" s="8">
        <v>75</v>
      </c>
      <c r="I214" s="8">
        <v>88.44</v>
      </c>
      <c r="J214" s="8">
        <v>52</v>
      </c>
      <c r="K214" s="8">
        <v>58</v>
      </c>
      <c r="L214" s="8">
        <v>34</v>
      </c>
      <c r="M214" s="8">
        <v>74</v>
      </c>
      <c r="N214" s="8">
        <v>71</v>
      </c>
      <c r="O214" s="8" t="s">
        <v>21</v>
      </c>
      <c r="P214" s="8" t="s">
        <v>21</v>
      </c>
      <c r="Q214" s="8" t="s">
        <v>21</v>
      </c>
      <c r="R214" s="8" t="s">
        <v>21</v>
      </c>
      <c r="S214" s="8" t="s">
        <v>21</v>
      </c>
      <c r="T214" s="8" t="s">
        <v>21</v>
      </c>
      <c r="U214" s="10">
        <v>531</v>
      </c>
      <c r="V214" s="9">
        <f>RANK(U214,$U$2:$U$255)</f>
        <v>47</v>
      </c>
      <c r="W214" s="9">
        <f>V214-E214</f>
        <v>-86</v>
      </c>
    </row>
    <row r="215" s="12" customFormat="1" spans="1:23">
      <c r="A215" s="8" t="s">
        <v>22</v>
      </c>
      <c r="B215" s="8" t="s">
        <v>238</v>
      </c>
      <c r="C215" s="8">
        <v>469.88</v>
      </c>
      <c r="D215" s="8">
        <v>421.88</v>
      </c>
      <c r="E215" s="9">
        <f>RANK(C215,$C$2:$C$255)</f>
        <v>96</v>
      </c>
      <c r="F215" s="8">
        <v>273.88</v>
      </c>
      <c r="G215" s="8">
        <v>112</v>
      </c>
      <c r="H215" s="8">
        <v>70</v>
      </c>
      <c r="I215" s="8">
        <v>91.88</v>
      </c>
      <c r="J215" s="8">
        <v>43</v>
      </c>
      <c r="K215" s="8">
        <v>75</v>
      </c>
      <c r="L215" s="8">
        <v>57</v>
      </c>
      <c r="M215" s="8" t="s">
        <v>21</v>
      </c>
      <c r="N215" s="8" t="s">
        <v>21</v>
      </c>
      <c r="O215" s="8" t="s">
        <v>21</v>
      </c>
      <c r="P215" s="8" t="s">
        <v>21</v>
      </c>
      <c r="Q215" s="8" t="s">
        <v>21</v>
      </c>
      <c r="R215" s="8">
        <v>78</v>
      </c>
      <c r="S215" s="8">
        <v>48</v>
      </c>
      <c r="T215" s="8" t="s">
        <v>21</v>
      </c>
      <c r="U215" s="10">
        <v>543</v>
      </c>
      <c r="V215" s="9">
        <f>RANK(U215,$U$2:$U$255)</f>
        <v>7</v>
      </c>
      <c r="W215" s="9">
        <f>V215-E215</f>
        <v>-89</v>
      </c>
    </row>
    <row r="216" s="12" customFormat="1" spans="1:23">
      <c r="A216" s="8" t="s">
        <v>19</v>
      </c>
      <c r="B216" s="8" t="s">
        <v>239</v>
      </c>
      <c r="C216" s="8">
        <v>461.07</v>
      </c>
      <c r="D216" s="8">
        <v>438.07</v>
      </c>
      <c r="E216" s="9">
        <f>RANK(C216,$C$2:$C$255)</f>
        <v>114</v>
      </c>
      <c r="F216" s="8">
        <v>290.07</v>
      </c>
      <c r="G216" s="8">
        <v>110</v>
      </c>
      <c r="H216" s="8">
        <v>76</v>
      </c>
      <c r="I216" s="8">
        <v>104.07</v>
      </c>
      <c r="J216" s="8">
        <v>40</v>
      </c>
      <c r="K216" s="8">
        <v>64</v>
      </c>
      <c r="L216" s="8">
        <v>42</v>
      </c>
      <c r="M216" s="8">
        <v>67</v>
      </c>
      <c r="N216" s="8">
        <v>66</v>
      </c>
      <c r="O216" s="8" t="s">
        <v>21</v>
      </c>
      <c r="P216" s="8" t="s">
        <v>21</v>
      </c>
      <c r="Q216" s="8" t="s">
        <v>21</v>
      </c>
      <c r="R216" s="8" t="s">
        <v>21</v>
      </c>
      <c r="S216" s="8" t="s">
        <v>21</v>
      </c>
      <c r="T216" s="8" t="s">
        <v>21</v>
      </c>
      <c r="U216" s="13">
        <v>534</v>
      </c>
      <c r="V216" s="9">
        <f>RANK(U216,$U$2:$U$255)</f>
        <v>23</v>
      </c>
      <c r="W216" s="9">
        <f>V216-E216</f>
        <v>-91</v>
      </c>
    </row>
    <row r="217" s="12" customFormat="1" spans="1:23">
      <c r="A217" s="8" t="s">
        <v>22</v>
      </c>
      <c r="B217" s="8" t="s">
        <v>240</v>
      </c>
      <c r="C217" s="8">
        <v>460.75</v>
      </c>
      <c r="D217" s="8">
        <v>427.75</v>
      </c>
      <c r="E217" s="9">
        <f>RANK(C217,$C$2:$C$255)</f>
        <v>116</v>
      </c>
      <c r="F217" s="8">
        <v>291.75</v>
      </c>
      <c r="G217" s="8">
        <v>102</v>
      </c>
      <c r="H217" s="8">
        <v>76</v>
      </c>
      <c r="I217" s="8">
        <v>113.75</v>
      </c>
      <c r="J217" s="8">
        <v>45</v>
      </c>
      <c r="K217" s="8">
        <v>81</v>
      </c>
      <c r="L217" s="8">
        <v>68</v>
      </c>
      <c r="M217" s="8" t="s">
        <v>21</v>
      </c>
      <c r="N217" s="8" t="s">
        <v>21</v>
      </c>
      <c r="O217" s="8" t="s">
        <v>21</v>
      </c>
      <c r="P217" s="8" t="s">
        <v>21</v>
      </c>
      <c r="Q217" s="8" t="s">
        <v>21</v>
      </c>
      <c r="R217" s="8">
        <v>43</v>
      </c>
      <c r="S217" s="8">
        <v>23</v>
      </c>
      <c r="T217" s="8" t="s">
        <v>21</v>
      </c>
      <c r="U217" s="10">
        <v>535</v>
      </c>
      <c r="V217" s="9">
        <f>RANK(U217,$U$2:$U$255)</f>
        <v>18</v>
      </c>
      <c r="W217" s="9">
        <f>V217-E217</f>
        <v>-98</v>
      </c>
    </row>
    <row r="218" s="12" customFormat="1" spans="1:23">
      <c r="A218" s="8" t="s">
        <v>19</v>
      </c>
      <c r="B218" s="8" t="s">
        <v>241</v>
      </c>
      <c r="C218" s="8">
        <v>457.25</v>
      </c>
      <c r="D218" s="8">
        <v>435.25</v>
      </c>
      <c r="E218" s="9">
        <f>RANK(C218,$C$2:$C$255)</f>
        <v>123</v>
      </c>
      <c r="F218" s="8">
        <v>275.25</v>
      </c>
      <c r="G218" s="8">
        <v>108</v>
      </c>
      <c r="H218" s="8">
        <v>66</v>
      </c>
      <c r="I218" s="8">
        <v>101.25</v>
      </c>
      <c r="J218" s="8">
        <v>41</v>
      </c>
      <c r="K218" s="8">
        <v>70</v>
      </c>
      <c r="L218" s="8">
        <v>50</v>
      </c>
      <c r="M218" s="8">
        <v>71</v>
      </c>
      <c r="N218" s="8">
        <v>69</v>
      </c>
      <c r="O218" s="8" t="s">
        <v>21</v>
      </c>
      <c r="P218" s="8" t="s">
        <v>21</v>
      </c>
      <c r="Q218" s="8" t="s">
        <v>21</v>
      </c>
      <c r="R218" s="8" t="s">
        <v>21</v>
      </c>
      <c r="S218" s="8" t="s">
        <v>21</v>
      </c>
      <c r="T218" s="8" t="s">
        <v>21</v>
      </c>
      <c r="U218" s="10">
        <v>534</v>
      </c>
      <c r="V218" s="9">
        <f>RANK(U218,$U$2:$U$255)</f>
        <v>23</v>
      </c>
      <c r="W218" s="9">
        <f>V218-E218</f>
        <v>-100</v>
      </c>
    </row>
    <row r="219" s="12" customFormat="1" spans="1:23">
      <c r="A219" s="8" t="s">
        <v>37</v>
      </c>
      <c r="B219" s="8" t="s">
        <v>242</v>
      </c>
      <c r="C219" s="8">
        <v>426.82</v>
      </c>
      <c r="D219" s="8">
        <v>407.82</v>
      </c>
      <c r="E219" s="9">
        <f>RANK(C219,$C$2:$C$255)</f>
        <v>167</v>
      </c>
      <c r="F219" s="8">
        <v>247.82</v>
      </c>
      <c r="G219" s="8">
        <v>104</v>
      </c>
      <c r="H219" s="8">
        <v>51</v>
      </c>
      <c r="I219" s="8">
        <v>92.82</v>
      </c>
      <c r="J219" s="8">
        <v>38</v>
      </c>
      <c r="K219" s="8">
        <v>70</v>
      </c>
      <c r="L219" s="8">
        <v>50</v>
      </c>
      <c r="M219" s="8" t="s">
        <v>21</v>
      </c>
      <c r="N219" s="8" t="s">
        <v>21</v>
      </c>
      <c r="O219" s="8">
        <v>71</v>
      </c>
      <c r="P219" s="8">
        <v>72</v>
      </c>
      <c r="Q219" s="8" t="s">
        <v>21</v>
      </c>
      <c r="R219" s="8" t="s">
        <v>21</v>
      </c>
      <c r="S219" s="8" t="s">
        <v>21</v>
      </c>
      <c r="T219" s="8" t="s">
        <v>21</v>
      </c>
      <c r="U219" s="10">
        <v>530</v>
      </c>
      <c r="V219" s="9">
        <f>RANK(U219,$U$2:$U$255)</f>
        <v>67</v>
      </c>
      <c r="W219" s="9">
        <f>V219-E219</f>
        <v>-100</v>
      </c>
    </row>
    <row r="220" s="12" customFormat="1" spans="1:23">
      <c r="A220" s="8" t="s">
        <v>19</v>
      </c>
      <c r="B220" s="8" t="s">
        <v>243</v>
      </c>
      <c r="C220" s="8">
        <v>447</v>
      </c>
      <c r="D220" s="8">
        <v>441</v>
      </c>
      <c r="E220" s="9">
        <f>RANK(C220,$C$2:$C$255)</f>
        <v>140</v>
      </c>
      <c r="F220" s="8">
        <v>278</v>
      </c>
      <c r="G220" s="8">
        <v>111</v>
      </c>
      <c r="H220" s="8">
        <v>62</v>
      </c>
      <c r="I220" s="8">
        <v>105</v>
      </c>
      <c r="J220" s="8">
        <v>57</v>
      </c>
      <c r="K220" s="8">
        <v>71</v>
      </c>
      <c r="L220" s="8">
        <v>51</v>
      </c>
      <c r="M220" s="8">
        <v>41</v>
      </c>
      <c r="N220" s="8">
        <v>55</v>
      </c>
      <c r="O220" s="8" t="s">
        <v>21</v>
      </c>
      <c r="P220" s="8" t="s">
        <v>21</v>
      </c>
      <c r="Q220" s="8" t="s">
        <v>21</v>
      </c>
      <c r="R220" s="8" t="s">
        <v>21</v>
      </c>
      <c r="S220" s="8" t="s">
        <v>21</v>
      </c>
      <c r="T220" s="8" t="s">
        <v>21</v>
      </c>
      <c r="U220" s="10">
        <v>532</v>
      </c>
      <c r="V220" s="9">
        <f>RANK(U220,$U$2:$U$255)</f>
        <v>38</v>
      </c>
      <c r="W220" s="9">
        <f>V220-E220</f>
        <v>-102</v>
      </c>
    </row>
    <row r="221" s="12" customFormat="1" spans="1:23">
      <c r="A221" s="8" t="s">
        <v>37</v>
      </c>
      <c r="B221" s="8" t="s">
        <v>244</v>
      </c>
      <c r="C221" s="8">
        <v>441.94</v>
      </c>
      <c r="D221" s="8">
        <v>421.94</v>
      </c>
      <c r="E221" s="9">
        <f>RANK(C221,$C$2:$C$255)</f>
        <v>149</v>
      </c>
      <c r="F221" s="8">
        <v>273.94</v>
      </c>
      <c r="G221" s="8">
        <v>114</v>
      </c>
      <c r="H221" s="8">
        <v>64</v>
      </c>
      <c r="I221" s="8">
        <v>95.94</v>
      </c>
      <c r="J221" s="8">
        <v>34</v>
      </c>
      <c r="K221" s="8">
        <v>71</v>
      </c>
      <c r="L221" s="8">
        <v>51</v>
      </c>
      <c r="M221" s="8" t="s">
        <v>21</v>
      </c>
      <c r="N221" s="8" t="s">
        <v>21</v>
      </c>
      <c r="O221" s="8">
        <v>63</v>
      </c>
      <c r="P221" s="8">
        <v>63</v>
      </c>
      <c r="Q221" s="8" t="s">
        <v>21</v>
      </c>
      <c r="R221" s="8" t="s">
        <v>21</v>
      </c>
      <c r="S221" s="8" t="s">
        <v>21</v>
      </c>
      <c r="T221" s="8" t="s">
        <v>21</v>
      </c>
      <c r="U221" s="10">
        <v>531</v>
      </c>
      <c r="V221" s="9">
        <f>RANK(U221,$U$2:$U$255)</f>
        <v>47</v>
      </c>
      <c r="W221" s="9">
        <f>V221-E221</f>
        <v>-102</v>
      </c>
    </row>
    <row r="222" s="12" customFormat="1" spans="1:23">
      <c r="A222" s="8" t="s">
        <v>24</v>
      </c>
      <c r="B222" s="8" t="s">
        <v>245</v>
      </c>
      <c r="C222" s="8">
        <v>390.63</v>
      </c>
      <c r="D222" s="8">
        <v>371.63</v>
      </c>
      <c r="E222" s="9">
        <f>RANK(C222,$C$2:$C$255)</f>
        <v>214</v>
      </c>
      <c r="F222" s="8">
        <v>232.63</v>
      </c>
      <c r="G222" s="8">
        <v>102</v>
      </c>
      <c r="H222" s="8">
        <v>55</v>
      </c>
      <c r="I222" s="8">
        <v>75.63</v>
      </c>
      <c r="J222" s="8">
        <v>42</v>
      </c>
      <c r="K222" s="8">
        <v>62</v>
      </c>
      <c r="L222" s="8">
        <v>39</v>
      </c>
      <c r="M222" s="8">
        <v>54</v>
      </c>
      <c r="N222" s="8">
        <v>58</v>
      </c>
      <c r="O222" s="8" t="s">
        <v>21</v>
      </c>
      <c r="P222" s="8" t="s">
        <v>21</v>
      </c>
      <c r="Q222" s="8" t="s">
        <v>21</v>
      </c>
      <c r="R222" s="8" t="s">
        <v>21</v>
      </c>
      <c r="S222" s="8" t="s">
        <v>21</v>
      </c>
      <c r="T222" s="8" t="s">
        <v>21</v>
      </c>
      <c r="U222" s="10">
        <v>525</v>
      </c>
      <c r="V222" s="9">
        <f>RANK(U222,$U$2:$U$255)</f>
        <v>109</v>
      </c>
      <c r="W222" s="9">
        <f>V222-E222</f>
        <v>-105</v>
      </c>
    </row>
    <row r="223" s="12" customFormat="1" spans="1:23">
      <c r="A223" s="8" t="s">
        <v>22</v>
      </c>
      <c r="B223" s="8" t="s">
        <v>246</v>
      </c>
      <c r="C223" s="8">
        <v>439.88</v>
      </c>
      <c r="D223" s="8">
        <v>393.88</v>
      </c>
      <c r="E223" s="9">
        <f>RANK(C223,$C$2:$C$255)</f>
        <v>153</v>
      </c>
      <c r="F223" s="8">
        <v>287.88</v>
      </c>
      <c r="G223" s="8">
        <v>103.5</v>
      </c>
      <c r="H223" s="8">
        <v>75</v>
      </c>
      <c r="I223" s="8">
        <v>109.38</v>
      </c>
      <c r="J223" s="8">
        <v>33</v>
      </c>
      <c r="K223" s="8">
        <v>64</v>
      </c>
      <c r="L223" s="8">
        <v>42</v>
      </c>
      <c r="M223" s="8" t="s">
        <v>21</v>
      </c>
      <c r="N223" s="8" t="s">
        <v>21</v>
      </c>
      <c r="O223" s="8" t="s">
        <v>21</v>
      </c>
      <c r="P223" s="8" t="s">
        <v>21</v>
      </c>
      <c r="Q223" s="8" t="s">
        <v>21</v>
      </c>
      <c r="R223" s="8">
        <v>55</v>
      </c>
      <c r="S223" s="8">
        <v>31</v>
      </c>
      <c r="T223" s="8" t="s">
        <v>21</v>
      </c>
      <c r="U223" s="10">
        <v>531</v>
      </c>
      <c r="V223" s="9">
        <f>RANK(U223,$U$2:$U$255)</f>
        <v>47</v>
      </c>
      <c r="W223" s="9">
        <f>V223-E223</f>
        <v>-106</v>
      </c>
    </row>
    <row r="224" s="12" customFormat="1" spans="1:23">
      <c r="A224" s="8" t="s">
        <v>24</v>
      </c>
      <c r="B224" s="8" t="s">
        <v>247</v>
      </c>
      <c r="C224" s="8">
        <v>437.82</v>
      </c>
      <c r="D224" s="8">
        <v>413.82</v>
      </c>
      <c r="E224" s="9">
        <f>RANK(C224,$C$2:$C$255)</f>
        <v>155</v>
      </c>
      <c r="F224" s="8">
        <v>267.82</v>
      </c>
      <c r="G224" s="8">
        <v>104</v>
      </c>
      <c r="H224" s="8">
        <v>66</v>
      </c>
      <c r="I224" s="8">
        <v>97.82</v>
      </c>
      <c r="J224" s="8">
        <v>43</v>
      </c>
      <c r="K224" s="8">
        <v>62</v>
      </c>
      <c r="L224" s="8">
        <v>39</v>
      </c>
      <c r="M224" s="8">
        <v>65</v>
      </c>
      <c r="N224" s="8">
        <v>64</v>
      </c>
      <c r="O224" s="8" t="s">
        <v>21</v>
      </c>
      <c r="P224" s="8" t="s">
        <v>21</v>
      </c>
      <c r="Q224" s="8" t="s">
        <v>21</v>
      </c>
      <c r="R224" s="8" t="s">
        <v>21</v>
      </c>
      <c r="S224" s="8" t="s">
        <v>21</v>
      </c>
      <c r="T224" s="8" t="s">
        <v>21</v>
      </c>
      <c r="U224" s="10">
        <v>531</v>
      </c>
      <c r="V224" s="9">
        <f>RANK(U224,$U$2:$U$255)</f>
        <v>47</v>
      </c>
      <c r="W224" s="9">
        <f>V224-E224</f>
        <v>-108</v>
      </c>
    </row>
    <row r="225" s="12" customFormat="1" spans="1:23">
      <c r="A225" s="8" t="s">
        <v>19</v>
      </c>
      <c r="B225" s="8" t="s">
        <v>248</v>
      </c>
      <c r="C225" s="8">
        <v>461</v>
      </c>
      <c r="D225" s="8">
        <v>438</v>
      </c>
      <c r="E225" s="9">
        <f>RANK(C225,$C$2:$C$255)</f>
        <v>115</v>
      </c>
      <c r="F225" s="8">
        <v>260</v>
      </c>
      <c r="G225" s="8">
        <v>101</v>
      </c>
      <c r="H225" s="8">
        <v>79</v>
      </c>
      <c r="I225" s="8">
        <v>80</v>
      </c>
      <c r="J225" s="8">
        <v>50</v>
      </c>
      <c r="K225" s="8">
        <v>72</v>
      </c>
      <c r="L225" s="8">
        <v>53</v>
      </c>
      <c r="M225" s="8">
        <v>79</v>
      </c>
      <c r="N225" s="8">
        <v>75</v>
      </c>
      <c r="O225" s="8" t="s">
        <v>21</v>
      </c>
      <c r="P225" s="8" t="s">
        <v>21</v>
      </c>
      <c r="Q225" s="8" t="s">
        <v>21</v>
      </c>
      <c r="R225" s="8" t="s">
        <v>21</v>
      </c>
      <c r="S225" s="8" t="s">
        <v>21</v>
      </c>
      <c r="T225" s="8" t="s">
        <v>21</v>
      </c>
      <c r="U225" s="10">
        <v>544</v>
      </c>
      <c r="V225" s="9">
        <f>RANK(U225,$U$2:$U$255)</f>
        <v>5</v>
      </c>
      <c r="W225" s="9">
        <f>V225-E225</f>
        <v>-110</v>
      </c>
    </row>
    <row r="226" s="12" customFormat="1" spans="1:23">
      <c r="A226" s="8" t="s">
        <v>24</v>
      </c>
      <c r="B226" s="8" t="s">
        <v>249</v>
      </c>
      <c r="C226" s="8">
        <v>442.19</v>
      </c>
      <c r="D226" s="8">
        <v>421.19</v>
      </c>
      <c r="E226" s="9">
        <f>RANK(C226,$C$2:$C$255)</f>
        <v>146</v>
      </c>
      <c r="F226" s="8">
        <v>296.19</v>
      </c>
      <c r="G226" s="8">
        <v>115.5</v>
      </c>
      <c r="H226" s="8">
        <v>56</v>
      </c>
      <c r="I226" s="8">
        <v>124.69</v>
      </c>
      <c r="J226" s="8">
        <v>24</v>
      </c>
      <c r="K226" s="8">
        <v>64</v>
      </c>
      <c r="L226" s="8">
        <v>42</v>
      </c>
      <c r="M226" s="8">
        <v>58</v>
      </c>
      <c r="N226" s="8">
        <v>59</v>
      </c>
      <c r="O226" s="8" t="s">
        <v>21</v>
      </c>
      <c r="P226" s="8" t="s">
        <v>21</v>
      </c>
      <c r="Q226" s="8" t="s">
        <v>21</v>
      </c>
      <c r="R226" s="8" t="s">
        <v>21</v>
      </c>
      <c r="S226" s="8" t="s">
        <v>21</v>
      </c>
      <c r="T226" s="8" t="s">
        <v>21</v>
      </c>
      <c r="U226" s="10">
        <v>533</v>
      </c>
      <c r="V226" s="9">
        <f>RANK(U226,$U$2:$U$255)</f>
        <v>33</v>
      </c>
      <c r="W226" s="9">
        <f>V226-E226</f>
        <v>-113</v>
      </c>
    </row>
    <row r="227" s="12" customFormat="1" spans="1:23">
      <c r="A227" s="8" t="s">
        <v>37</v>
      </c>
      <c r="B227" s="8" t="s">
        <v>250</v>
      </c>
      <c r="C227" s="8">
        <v>441.13</v>
      </c>
      <c r="D227" s="8">
        <v>424.13</v>
      </c>
      <c r="E227" s="9">
        <f>RANK(C227,$C$2:$C$255)</f>
        <v>151</v>
      </c>
      <c r="F227" s="8">
        <v>265.13</v>
      </c>
      <c r="G227" s="8">
        <v>106.5</v>
      </c>
      <c r="H227" s="8">
        <v>78</v>
      </c>
      <c r="I227" s="8">
        <v>80.63</v>
      </c>
      <c r="J227" s="8">
        <v>35</v>
      </c>
      <c r="K227" s="8">
        <v>77</v>
      </c>
      <c r="L227" s="8">
        <v>60</v>
      </c>
      <c r="M227" s="8" t="s">
        <v>21</v>
      </c>
      <c r="N227" s="8" t="s">
        <v>21</v>
      </c>
      <c r="O227" s="8">
        <v>64</v>
      </c>
      <c r="P227" s="8">
        <v>64</v>
      </c>
      <c r="Q227" s="8" t="s">
        <v>21</v>
      </c>
      <c r="R227" s="8" t="s">
        <v>21</v>
      </c>
      <c r="S227" s="8" t="s">
        <v>21</v>
      </c>
      <c r="T227" s="8" t="s">
        <v>21</v>
      </c>
      <c r="U227" s="10">
        <v>532</v>
      </c>
      <c r="V227" s="9">
        <f>RANK(U227,$U$2:$U$255)</f>
        <v>38</v>
      </c>
      <c r="W227" s="9">
        <f>V227-E227</f>
        <v>-113</v>
      </c>
    </row>
    <row r="228" s="12" customFormat="1" spans="1:23">
      <c r="A228" s="8" t="s">
        <v>37</v>
      </c>
      <c r="B228" s="8" t="s">
        <v>251</v>
      </c>
      <c r="C228" s="8">
        <v>431.88</v>
      </c>
      <c r="D228" s="8">
        <v>415.88</v>
      </c>
      <c r="E228" s="9">
        <f>RANK(C228,$C$2:$C$255)</f>
        <v>161</v>
      </c>
      <c r="F228" s="8">
        <v>269.88</v>
      </c>
      <c r="G228" s="8">
        <v>90</v>
      </c>
      <c r="H228" s="8">
        <v>78</v>
      </c>
      <c r="I228" s="8">
        <v>101.88</v>
      </c>
      <c r="J228" s="8">
        <v>35</v>
      </c>
      <c r="K228" s="8">
        <v>74</v>
      </c>
      <c r="L228" s="8">
        <v>56</v>
      </c>
      <c r="M228" s="8" t="s">
        <v>21</v>
      </c>
      <c r="N228" s="8" t="s">
        <v>21</v>
      </c>
      <c r="O228" s="8">
        <v>53</v>
      </c>
      <c r="P228" s="8">
        <v>55</v>
      </c>
      <c r="Q228" s="8" t="s">
        <v>21</v>
      </c>
      <c r="R228" s="8" t="s">
        <v>21</v>
      </c>
      <c r="S228" s="8" t="s">
        <v>21</v>
      </c>
      <c r="T228" s="8" t="s">
        <v>21</v>
      </c>
      <c r="U228" s="10">
        <v>531</v>
      </c>
      <c r="V228" s="9">
        <f>RANK(U228,$U$2:$U$255)</f>
        <v>47</v>
      </c>
      <c r="W228" s="9">
        <f>V228-E228</f>
        <v>-114</v>
      </c>
    </row>
    <row r="229" s="12" customFormat="1" spans="1:23">
      <c r="A229" s="8" t="s">
        <v>19</v>
      </c>
      <c r="B229" s="8" t="s">
        <v>252</v>
      </c>
      <c r="C229" s="8">
        <v>382.63</v>
      </c>
      <c r="D229" s="8">
        <v>373.63</v>
      </c>
      <c r="E229" s="9">
        <f>RANK(C229,$C$2:$C$255)</f>
        <v>219</v>
      </c>
      <c r="F229" s="8">
        <v>260.63</v>
      </c>
      <c r="G229" s="8">
        <v>100</v>
      </c>
      <c r="H229" s="8">
        <v>75</v>
      </c>
      <c r="I229" s="8">
        <v>85.63</v>
      </c>
      <c r="J229" s="8">
        <v>18</v>
      </c>
      <c r="K229" s="8">
        <v>63</v>
      </c>
      <c r="L229" s="8">
        <v>40</v>
      </c>
      <c r="M229" s="8">
        <v>41</v>
      </c>
      <c r="N229" s="8">
        <v>55</v>
      </c>
      <c r="O229" s="8" t="s">
        <v>21</v>
      </c>
      <c r="P229" s="8" t="s">
        <v>21</v>
      </c>
      <c r="Q229" s="8" t="s">
        <v>21</v>
      </c>
      <c r="R229" s="8" t="s">
        <v>21</v>
      </c>
      <c r="S229" s="8" t="s">
        <v>21</v>
      </c>
      <c r="T229" s="8" t="s">
        <v>21</v>
      </c>
      <c r="U229" s="10">
        <v>526</v>
      </c>
      <c r="V229" s="9">
        <f>RANK(U229,$U$2:$U$255)</f>
        <v>100</v>
      </c>
      <c r="W229" s="9">
        <f>V229-E229</f>
        <v>-119</v>
      </c>
    </row>
    <row r="230" s="12" customFormat="1" spans="1:23">
      <c r="A230" s="8" t="s">
        <v>26</v>
      </c>
      <c r="B230" s="8" t="s">
        <v>253</v>
      </c>
      <c r="C230" s="8">
        <v>426.07</v>
      </c>
      <c r="D230" s="8">
        <v>376.07</v>
      </c>
      <c r="E230" s="9">
        <f>RANK(C230,$C$2:$C$255)</f>
        <v>169</v>
      </c>
      <c r="F230" s="8">
        <v>242.07</v>
      </c>
      <c r="G230" s="8">
        <v>101</v>
      </c>
      <c r="H230" s="8">
        <v>37</v>
      </c>
      <c r="I230" s="8">
        <v>104.07</v>
      </c>
      <c r="J230" s="8">
        <v>32</v>
      </c>
      <c r="K230" s="8">
        <v>72</v>
      </c>
      <c r="L230" s="8">
        <v>52</v>
      </c>
      <c r="M230" s="8" t="s">
        <v>21</v>
      </c>
      <c r="N230" s="8" t="s">
        <v>21</v>
      </c>
      <c r="O230" s="8" t="s">
        <v>21</v>
      </c>
      <c r="P230" s="8" t="s">
        <v>21</v>
      </c>
      <c r="Q230" s="8" t="s">
        <v>21</v>
      </c>
      <c r="R230" s="8">
        <v>80</v>
      </c>
      <c r="S230" s="8">
        <v>50</v>
      </c>
      <c r="T230" s="8" t="s">
        <v>21</v>
      </c>
      <c r="U230" s="10">
        <v>531</v>
      </c>
      <c r="V230" s="9">
        <f>RANK(U230,$U$2:$U$255)</f>
        <v>47</v>
      </c>
      <c r="W230" s="9">
        <f>V230-E230</f>
        <v>-122</v>
      </c>
    </row>
    <row r="231" s="12" customFormat="1" spans="1:23">
      <c r="A231" s="8" t="s">
        <v>26</v>
      </c>
      <c r="B231" s="8" t="s">
        <v>254</v>
      </c>
      <c r="C231" s="8">
        <v>368.88</v>
      </c>
      <c r="D231" s="8">
        <v>316.88</v>
      </c>
      <c r="E231" s="9">
        <f>RANK(C231,$C$2:$C$255)</f>
        <v>227</v>
      </c>
      <c r="F231" s="8">
        <v>224.88</v>
      </c>
      <c r="G231" s="8">
        <v>109</v>
      </c>
      <c r="H231" s="8">
        <v>34</v>
      </c>
      <c r="I231" s="8">
        <v>81.88</v>
      </c>
      <c r="J231" s="8">
        <v>19</v>
      </c>
      <c r="K231" s="8">
        <v>60</v>
      </c>
      <c r="L231" s="8">
        <v>36</v>
      </c>
      <c r="M231" s="8" t="s">
        <v>21</v>
      </c>
      <c r="N231" s="8" t="s">
        <v>21</v>
      </c>
      <c r="O231" s="8" t="s">
        <v>21</v>
      </c>
      <c r="P231" s="8" t="s">
        <v>21</v>
      </c>
      <c r="Q231" s="8" t="s">
        <v>21</v>
      </c>
      <c r="R231" s="8">
        <v>65</v>
      </c>
      <c r="S231" s="8">
        <v>37</v>
      </c>
      <c r="T231" s="8" t="s">
        <v>21</v>
      </c>
      <c r="U231" s="10">
        <v>526</v>
      </c>
      <c r="V231" s="9">
        <f>RANK(U231,$U$2:$U$255)</f>
        <v>100</v>
      </c>
      <c r="W231" s="9">
        <f>V231-E231</f>
        <v>-127</v>
      </c>
    </row>
    <row r="232" s="12" customFormat="1" spans="1:23">
      <c r="A232" s="8" t="s">
        <v>24</v>
      </c>
      <c r="B232" s="8" t="s">
        <v>255</v>
      </c>
      <c r="C232" s="8">
        <v>404.44</v>
      </c>
      <c r="D232" s="8">
        <v>385.44</v>
      </c>
      <c r="E232" s="9">
        <f>RANK(C232,$C$2:$C$255)</f>
        <v>202</v>
      </c>
      <c r="F232" s="8">
        <v>267.44</v>
      </c>
      <c r="G232" s="8">
        <v>102.5</v>
      </c>
      <c r="H232" s="8">
        <v>84</v>
      </c>
      <c r="I232" s="8">
        <v>80.94</v>
      </c>
      <c r="J232" s="8">
        <v>37</v>
      </c>
      <c r="K232" s="8">
        <v>40</v>
      </c>
      <c r="L232" s="8">
        <v>20</v>
      </c>
      <c r="M232" s="8">
        <v>60</v>
      </c>
      <c r="N232" s="8">
        <v>61</v>
      </c>
      <c r="O232" s="8" t="s">
        <v>21</v>
      </c>
      <c r="P232" s="8" t="s">
        <v>21</v>
      </c>
      <c r="Q232" s="8" t="s">
        <v>21</v>
      </c>
      <c r="R232" s="8" t="s">
        <v>21</v>
      </c>
      <c r="S232" s="8" t="s">
        <v>21</v>
      </c>
      <c r="T232" s="8" t="s">
        <v>21</v>
      </c>
      <c r="U232" s="10">
        <v>529</v>
      </c>
      <c r="V232" s="9">
        <f>RANK(U232,$U$2:$U$255)</f>
        <v>71</v>
      </c>
      <c r="W232" s="9">
        <f>V232-E232</f>
        <v>-131</v>
      </c>
    </row>
    <row r="233" s="12" customFormat="1" spans="1:23">
      <c r="A233" s="8" t="s">
        <v>37</v>
      </c>
      <c r="B233" s="8" t="s">
        <v>256</v>
      </c>
      <c r="C233" s="8">
        <v>422</v>
      </c>
      <c r="D233" s="8">
        <v>402</v>
      </c>
      <c r="E233" s="9">
        <f>RANK(C233,$C$2:$C$255)</f>
        <v>178</v>
      </c>
      <c r="F233" s="8">
        <v>253</v>
      </c>
      <c r="G233" s="8">
        <v>98.5</v>
      </c>
      <c r="H233" s="8">
        <v>62</v>
      </c>
      <c r="I233" s="8">
        <v>92.5</v>
      </c>
      <c r="J233" s="8">
        <v>30</v>
      </c>
      <c r="K233" s="8">
        <v>69</v>
      </c>
      <c r="L233" s="8">
        <v>48</v>
      </c>
      <c r="M233" s="8" t="s">
        <v>21</v>
      </c>
      <c r="N233" s="8" t="s">
        <v>21</v>
      </c>
      <c r="O233" s="8">
        <v>70</v>
      </c>
      <c r="P233" s="8">
        <v>71</v>
      </c>
      <c r="Q233" s="8" t="s">
        <v>21</v>
      </c>
      <c r="R233" s="8" t="s">
        <v>21</v>
      </c>
      <c r="S233" s="8" t="s">
        <v>21</v>
      </c>
      <c r="T233" s="8" t="s">
        <v>21</v>
      </c>
      <c r="U233" s="10">
        <v>531</v>
      </c>
      <c r="V233" s="9">
        <f>RANK(U233,$U$2:$U$255)</f>
        <v>47</v>
      </c>
      <c r="W233" s="9">
        <f>V233-E233</f>
        <v>-131</v>
      </c>
    </row>
    <row r="234" s="12" customFormat="1" spans="1:23">
      <c r="A234" s="8" t="s">
        <v>24</v>
      </c>
      <c r="B234" s="8" t="s">
        <v>257</v>
      </c>
      <c r="C234" s="8">
        <v>378.63</v>
      </c>
      <c r="D234" s="8">
        <v>367.63</v>
      </c>
      <c r="E234" s="9">
        <f>RANK(C234,$C$2:$C$255)</f>
        <v>221</v>
      </c>
      <c r="F234" s="8">
        <v>250.63</v>
      </c>
      <c r="G234" s="8">
        <v>100.5</v>
      </c>
      <c r="H234" s="8">
        <v>57</v>
      </c>
      <c r="I234" s="8">
        <v>93.13</v>
      </c>
      <c r="J234" s="8">
        <v>35</v>
      </c>
      <c r="K234" s="8">
        <v>48</v>
      </c>
      <c r="L234" s="8">
        <v>26</v>
      </c>
      <c r="M234" s="8">
        <v>45</v>
      </c>
      <c r="N234" s="8">
        <v>56</v>
      </c>
      <c r="O234" s="8" t="s">
        <v>21</v>
      </c>
      <c r="P234" s="8" t="s">
        <v>21</v>
      </c>
      <c r="Q234" s="8" t="s">
        <v>21</v>
      </c>
      <c r="R234" s="8" t="s">
        <v>21</v>
      </c>
      <c r="S234" s="8" t="s">
        <v>21</v>
      </c>
      <c r="T234" s="8" t="s">
        <v>21</v>
      </c>
      <c r="U234" s="10">
        <v>527</v>
      </c>
      <c r="V234" s="9">
        <f>RANK(U234,$U$2:$U$255)</f>
        <v>85</v>
      </c>
      <c r="W234" s="9">
        <f>V234-E234</f>
        <v>-136</v>
      </c>
    </row>
    <row r="235" s="12" customFormat="1" spans="1:23">
      <c r="A235" s="8" t="s">
        <v>24</v>
      </c>
      <c r="B235" s="8" t="s">
        <v>258</v>
      </c>
      <c r="C235" s="8">
        <v>387.07</v>
      </c>
      <c r="D235" s="8">
        <v>371.07</v>
      </c>
      <c r="E235" s="9">
        <f>RANK(C235,$C$2:$C$255)</f>
        <v>216</v>
      </c>
      <c r="F235" s="8">
        <v>253.07</v>
      </c>
      <c r="G235" s="8">
        <v>98.5</v>
      </c>
      <c r="H235" s="8">
        <v>53</v>
      </c>
      <c r="I235" s="8">
        <v>101.57</v>
      </c>
      <c r="J235" s="8">
        <v>29</v>
      </c>
      <c r="K235" s="8">
        <v>55</v>
      </c>
      <c r="L235" s="8">
        <v>32</v>
      </c>
      <c r="M235" s="8">
        <v>50</v>
      </c>
      <c r="N235" s="8">
        <v>57</v>
      </c>
      <c r="O235" s="8" t="s">
        <v>21</v>
      </c>
      <c r="P235" s="8" t="s">
        <v>21</v>
      </c>
      <c r="Q235" s="8" t="s">
        <v>21</v>
      </c>
      <c r="R235" s="8" t="s">
        <v>21</v>
      </c>
      <c r="S235" s="8" t="s">
        <v>21</v>
      </c>
      <c r="T235" s="8" t="s">
        <v>21</v>
      </c>
      <c r="U235" s="10">
        <v>529</v>
      </c>
      <c r="V235" s="9">
        <f>RANK(U235,$U$2:$U$255)</f>
        <v>71</v>
      </c>
      <c r="W235" s="9">
        <f>V235-E235</f>
        <v>-145</v>
      </c>
    </row>
    <row r="236" s="12" customFormat="1" spans="1:23">
      <c r="A236" s="8" t="s">
        <v>22</v>
      </c>
      <c r="B236" s="8" t="s">
        <v>259</v>
      </c>
      <c r="C236" s="8">
        <v>423.94</v>
      </c>
      <c r="D236" s="8">
        <v>380.94</v>
      </c>
      <c r="E236" s="9">
        <f>RANK(C236,$C$2:$C$255)</f>
        <v>174</v>
      </c>
      <c r="F236" s="8">
        <v>257.94</v>
      </c>
      <c r="G236" s="8">
        <v>95.5</v>
      </c>
      <c r="H236" s="8">
        <v>79</v>
      </c>
      <c r="I236" s="8">
        <v>83.44</v>
      </c>
      <c r="J236" s="8">
        <v>38</v>
      </c>
      <c r="K236" s="8">
        <v>73</v>
      </c>
      <c r="L236" s="8">
        <v>54</v>
      </c>
      <c r="M236" s="8" t="s">
        <v>21</v>
      </c>
      <c r="N236" s="8" t="s">
        <v>21</v>
      </c>
      <c r="O236" s="8" t="s">
        <v>21</v>
      </c>
      <c r="P236" s="8" t="s">
        <v>21</v>
      </c>
      <c r="Q236" s="8" t="s">
        <v>21</v>
      </c>
      <c r="R236" s="8">
        <v>55</v>
      </c>
      <c r="S236" s="8">
        <v>31</v>
      </c>
      <c r="T236" s="8" t="s">
        <v>21</v>
      </c>
      <c r="U236" s="10">
        <v>534</v>
      </c>
      <c r="V236" s="9">
        <f>RANK(U236,$U$2:$U$255)</f>
        <v>23</v>
      </c>
      <c r="W236" s="9">
        <f>V236-E236</f>
        <v>-151</v>
      </c>
    </row>
    <row r="237" s="12" customFormat="1" spans="1:23">
      <c r="A237" s="8" t="s">
        <v>24</v>
      </c>
      <c r="B237" s="8" t="s">
        <v>260</v>
      </c>
      <c r="C237" s="8">
        <v>373.25</v>
      </c>
      <c r="D237" s="8">
        <v>363.25</v>
      </c>
      <c r="E237" s="9">
        <f>RANK(C237,$C$2:$C$255)</f>
        <v>224</v>
      </c>
      <c r="F237" s="8">
        <v>217.25</v>
      </c>
      <c r="G237" s="8">
        <v>99.5</v>
      </c>
      <c r="H237" s="8">
        <v>54</v>
      </c>
      <c r="I237" s="8">
        <v>63.75</v>
      </c>
      <c r="J237" s="8">
        <v>53</v>
      </c>
      <c r="K237" s="8">
        <v>63</v>
      </c>
      <c r="L237" s="8">
        <v>41</v>
      </c>
      <c r="M237" s="8">
        <v>40</v>
      </c>
      <c r="N237" s="8">
        <v>52</v>
      </c>
      <c r="O237" s="8" t="s">
        <v>21</v>
      </c>
      <c r="P237" s="8" t="s">
        <v>21</v>
      </c>
      <c r="Q237" s="8" t="s">
        <v>21</v>
      </c>
      <c r="R237" s="8" t="s">
        <v>21</v>
      </c>
      <c r="S237" s="8" t="s">
        <v>21</v>
      </c>
      <c r="T237" s="8" t="s">
        <v>21</v>
      </c>
      <c r="U237" s="10">
        <v>530</v>
      </c>
      <c r="V237" s="9">
        <f>RANK(U237,$U$2:$U$255)</f>
        <v>67</v>
      </c>
      <c r="W237" s="9">
        <f>V237-E237</f>
        <v>-157</v>
      </c>
    </row>
    <row r="238" s="12" customFormat="1" spans="1:23">
      <c r="A238" s="8" t="s">
        <v>19</v>
      </c>
      <c r="B238" s="8" t="s">
        <v>261</v>
      </c>
      <c r="C238" s="8">
        <v>371.13</v>
      </c>
      <c r="D238" s="8">
        <v>352.13</v>
      </c>
      <c r="E238" s="9">
        <f>RANK(C238,$C$2:$C$255)</f>
        <v>225</v>
      </c>
      <c r="F238" s="8">
        <v>222.13</v>
      </c>
      <c r="G238" s="8">
        <v>102.5</v>
      </c>
      <c r="H238" s="8">
        <v>64</v>
      </c>
      <c r="I238" s="8">
        <v>55.63</v>
      </c>
      <c r="J238" s="8">
        <v>45</v>
      </c>
      <c r="K238" s="8">
        <v>35</v>
      </c>
      <c r="L238" s="8">
        <v>18</v>
      </c>
      <c r="M238" s="8">
        <v>69</v>
      </c>
      <c r="N238" s="8">
        <v>67</v>
      </c>
      <c r="O238" s="8" t="s">
        <v>21</v>
      </c>
      <c r="P238" s="8" t="s">
        <v>21</v>
      </c>
      <c r="Q238" s="8" t="s">
        <v>21</v>
      </c>
      <c r="R238" s="8" t="s">
        <v>21</v>
      </c>
      <c r="S238" s="8" t="s">
        <v>21</v>
      </c>
      <c r="T238" s="8" t="s">
        <v>21</v>
      </c>
      <c r="U238" s="10">
        <v>543</v>
      </c>
      <c r="V238" s="9">
        <f>RANK(U238,$U$2:$U$255)</f>
        <v>7</v>
      </c>
      <c r="W238" s="9">
        <f>V238-E238</f>
        <v>-218</v>
      </c>
    </row>
  </sheetData>
  <sortState ref="A2:W238">
    <sortCondition ref="W2:W238" descending="1"/>
  </sortState>
  <conditionalFormatting sqref="B$1:B$1048576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workbookViewId="0">
      <selection activeCell="E2" sqref="E2"/>
    </sheetView>
  </sheetViews>
  <sheetFormatPr defaultColWidth="5" defaultRowHeight="12"/>
  <cols>
    <col min="1" max="1" width="13" style="1" customWidth="1"/>
    <col min="2" max="2" width="7" style="1" customWidth="1"/>
    <col min="3" max="3" width="9.125" style="1" customWidth="1"/>
    <col min="4" max="5" width="7" style="1" customWidth="1"/>
    <col min="6" max="6" width="9.75" style="1" customWidth="1"/>
    <col min="7" max="15" width="7" style="1" customWidth="1"/>
    <col min="16" max="16" width="6.25" style="2" customWidth="1"/>
    <col min="17" max="17" width="9.875" style="1" customWidth="1"/>
    <col min="18" max="18" width="10.75" style="1" customWidth="1"/>
    <col min="19" max="16378" width="5" style="1"/>
    <col min="16379" max="16384" width="5" style="3"/>
  </cols>
  <sheetData>
    <row r="1" s="1" customFormat="1" ht="30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12</v>
      </c>
      <c r="K1" s="4" t="s">
        <v>3</v>
      </c>
      <c r="L1" s="4" t="s">
        <v>13</v>
      </c>
      <c r="M1" s="4" t="s">
        <v>14</v>
      </c>
      <c r="N1" s="4" t="s">
        <v>3</v>
      </c>
      <c r="O1" s="4" t="s">
        <v>15</v>
      </c>
      <c r="P1" s="5" t="s">
        <v>16</v>
      </c>
      <c r="Q1" s="6" t="s">
        <v>17</v>
      </c>
      <c r="R1" s="7" t="s">
        <v>18</v>
      </c>
    </row>
    <row r="2" s="1" customFormat="1" spans="1:18">
      <c r="A2" s="8" t="s">
        <v>262</v>
      </c>
      <c r="B2" s="8" t="s">
        <v>263</v>
      </c>
      <c r="C2" s="8">
        <v>565.63</v>
      </c>
      <c r="D2" s="8">
        <v>535.63</v>
      </c>
      <c r="E2" s="9">
        <f>RANK(D2,$D$2:$D$63)</f>
        <v>3</v>
      </c>
      <c r="F2" s="8">
        <v>325.63</v>
      </c>
      <c r="G2" s="8">
        <v>124.5</v>
      </c>
      <c r="H2" s="8">
        <v>78</v>
      </c>
      <c r="I2" s="8">
        <v>123.13</v>
      </c>
      <c r="J2" s="8">
        <v>86</v>
      </c>
      <c r="K2" s="8">
        <v>86</v>
      </c>
      <c r="L2" s="8">
        <v>80</v>
      </c>
      <c r="M2" s="8">
        <v>74</v>
      </c>
      <c r="N2" s="8">
        <v>44</v>
      </c>
      <c r="O2" s="8" t="s">
        <v>21</v>
      </c>
      <c r="P2" s="10">
        <v>505</v>
      </c>
      <c r="Q2" s="9">
        <f>RANK(P2,$P$2:$P$63)</f>
        <v>30</v>
      </c>
      <c r="R2" s="11">
        <f>Q2-E2</f>
        <v>27</v>
      </c>
    </row>
    <row r="3" s="1" customFormat="1" spans="1:18">
      <c r="A3" s="8" t="s">
        <v>262</v>
      </c>
      <c r="B3" s="8" t="s">
        <v>264</v>
      </c>
      <c r="C3" s="8">
        <v>503</v>
      </c>
      <c r="D3" s="8">
        <v>474</v>
      </c>
      <c r="E3" s="9">
        <f>RANK(D3,$D$2:$D$63)</f>
        <v>20</v>
      </c>
      <c r="F3" s="8">
        <v>290</v>
      </c>
      <c r="G3" s="8">
        <v>116</v>
      </c>
      <c r="H3" s="8">
        <v>61</v>
      </c>
      <c r="I3" s="8" t="s">
        <v>21</v>
      </c>
      <c r="J3" s="8">
        <v>56</v>
      </c>
      <c r="K3" s="8">
        <v>57</v>
      </c>
      <c r="L3" s="8">
        <v>85</v>
      </c>
      <c r="M3" s="8">
        <v>72</v>
      </c>
      <c r="N3" s="8">
        <v>42</v>
      </c>
      <c r="O3" s="8">
        <v>113</v>
      </c>
      <c r="P3" s="10">
        <v>481</v>
      </c>
      <c r="Q3" s="9">
        <f>RANK(P3,$P$2:$P$63)</f>
        <v>45</v>
      </c>
      <c r="R3" s="11">
        <f>Q3-E3</f>
        <v>25</v>
      </c>
    </row>
    <row r="4" s="1" customFormat="1" spans="1:18">
      <c r="A4" s="8" t="s">
        <v>262</v>
      </c>
      <c r="B4" s="8" t="s">
        <v>265</v>
      </c>
      <c r="C4" s="8">
        <v>499.07</v>
      </c>
      <c r="D4" s="8">
        <v>470.07</v>
      </c>
      <c r="E4" s="9">
        <f>RANK(D4,$D$2:$D$63)</f>
        <v>21</v>
      </c>
      <c r="F4" s="8">
        <v>276.07</v>
      </c>
      <c r="G4" s="8">
        <v>106.5</v>
      </c>
      <c r="H4" s="8">
        <v>88</v>
      </c>
      <c r="I4" s="8">
        <v>81.57</v>
      </c>
      <c r="J4" s="8">
        <v>72</v>
      </c>
      <c r="K4" s="8">
        <v>73</v>
      </c>
      <c r="L4" s="8">
        <v>72</v>
      </c>
      <c r="M4" s="8">
        <v>79</v>
      </c>
      <c r="N4" s="8">
        <v>49</v>
      </c>
      <c r="O4" s="8" t="s">
        <v>21</v>
      </c>
      <c r="P4" s="10">
        <v>490</v>
      </c>
      <c r="Q4" s="9">
        <f>RANK(P4,$P$2:$P$63)</f>
        <v>42</v>
      </c>
      <c r="R4" s="11">
        <f>Q4-E4</f>
        <v>21</v>
      </c>
    </row>
    <row r="5" s="1" customFormat="1" spans="1:18">
      <c r="A5" s="8" t="s">
        <v>262</v>
      </c>
      <c r="B5" s="8" t="s">
        <v>266</v>
      </c>
      <c r="C5" s="8">
        <v>492.5</v>
      </c>
      <c r="D5" s="8">
        <v>462.5</v>
      </c>
      <c r="E5" s="9">
        <f>RANK(D5,$D$2:$D$63)</f>
        <v>24</v>
      </c>
      <c r="F5" s="8">
        <v>284.5</v>
      </c>
      <c r="G5" s="8">
        <v>111</v>
      </c>
      <c r="H5" s="8">
        <v>76</v>
      </c>
      <c r="I5" s="8">
        <v>97.5</v>
      </c>
      <c r="J5" s="8">
        <v>65</v>
      </c>
      <c r="K5" s="8">
        <v>65</v>
      </c>
      <c r="L5" s="8">
        <v>66</v>
      </c>
      <c r="M5" s="8">
        <v>77</v>
      </c>
      <c r="N5" s="8">
        <v>47</v>
      </c>
      <c r="O5" s="8" t="s">
        <v>21</v>
      </c>
      <c r="P5" s="10">
        <v>496</v>
      </c>
      <c r="Q5" s="9">
        <f>RANK(P5,$P$2:$P$63)</f>
        <v>37</v>
      </c>
      <c r="R5" s="11">
        <f>Q5-E5</f>
        <v>13</v>
      </c>
    </row>
    <row r="6" s="1" customFormat="1" spans="1:18">
      <c r="A6" s="8" t="s">
        <v>262</v>
      </c>
      <c r="B6" s="8" t="s">
        <v>267</v>
      </c>
      <c r="C6" s="8">
        <v>525.5</v>
      </c>
      <c r="D6" s="8">
        <v>496.5</v>
      </c>
      <c r="E6" s="9">
        <f>RANK(D6,$D$2:$D$63)</f>
        <v>12</v>
      </c>
      <c r="F6" s="8">
        <v>285.5</v>
      </c>
      <c r="G6" s="8">
        <v>99.5</v>
      </c>
      <c r="H6" s="8">
        <v>56</v>
      </c>
      <c r="I6" s="8" t="s">
        <v>21</v>
      </c>
      <c r="J6" s="8">
        <v>75</v>
      </c>
      <c r="K6" s="8">
        <v>76</v>
      </c>
      <c r="L6" s="8">
        <v>83</v>
      </c>
      <c r="M6" s="8">
        <v>82</v>
      </c>
      <c r="N6" s="8">
        <v>52</v>
      </c>
      <c r="O6" s="8">
        <v>130</v>
      </c>
      <c r="P6" s="10">
        <v>512</v>
      </c>
      <c r="Q6" s="9">
        <f>RANK(P6,$P$2:$P$63)</f>
        <v>24</v>
      </c>
      <c r="R6" s="11">
        <f>Q6-E6</f>
        <v>12</v>
      </c>
    </row>
    <row r="7" s="1" customFormat="1" spans="1:18">
      <c r="A7" s="8" t="s">
        <v>262</v>
      </c>
      <c r="B7" s="8" t="s">
        <v>268</v>
      </c>
      <c r="C7" s="8">
        <v>482.5</v>
      </c>
      <c r="D7" s="8">
        <v>454.5</v>
      </c>
      <c r="E7" s="9">
        <f>RANK(D7,$D$2:$D$63)</f>
        <v>28</v>
      </c>
      <c r="F7" s="8">
        <v>250.5</v>
      </c>
      <c r="G7" s="8">
        <v>108.5</v>
      </c>
      <c r="H7" s="8">
        <v>54</v>
      </c>
      <c r="I7" s="8" t="s">
        <v>21</v>
      </c>
      <c r="J7" s="8">
        <v>78</v>
      </c>
      <c r="K7" s="8">
        <v>80</v>
      </c>
      <c r="L7" s="8">
        <v>81</v>
      </c>
      <c r="M7" s="8">
        <v>73</v>
      </c>
      <c r="N7" s="8">
        <v>43</v>
      </c>
      <c r="O7" s="8">
        <v>88</v>
      </c>
      <c r="P7" s="10">
        <v>493</v>
      </c>
      <c r="Q7" s="9">
        <f>RANK(P7,$P$2:$P$63)</f>
        <v>40</v>
      </c>
      <c r="R7" s="11">
        <f>Q7-E7</f>
        <v>12</v>
      </c>
    </row>
    <row r="8" s="1" customFormat="1" spans="1:18">
      <c r="A8" s="8" t="s">
        <v>262</v>
      </c>
      <c r="B8" s="8" t="s">
        <v>269</v>
      </c>
      <c r="C8" s="8">
        <v>459.32</v>
      </c>
      <c r="D8" s="8">
        <v>429.32</v>
      </c>
      <c r="E8" s="9">
        <f>RANK(D8,$D$2:$D$63)</f>
        <v>32</v>
      </c>
      <c r="F8" s="8">
        <v>248.32</v>
      </c>
      <c r="G8" s="8">
        <v>105.5</v>
      </c>
      <c r="H8" s="8">
        <v>70</v>
      </c>
      <c r="I8" s="8">
        <v>72.82</v>
      </c>
      <c r="J8" s="8">
        <v>58</v>
      </c>
      <c r="K8" s="8">
        <v>58</v>
      </c>
      <c r="L8" s="8">
        <v>82</v>
      </c>
      <c r="M8" s="8">
        <v>71</v>
      </c>
      <c r="N8" s="8">
        <v>41</v>
      </c>
      <c r="O8" s="8" t="s">
        <v>21</v>
      </c>
      <c r="P8" s="10">
        <v>486</v>
      </c>
      <c r="Q8" s="9">
        <f>RANK(P8,$P$2:$P$63)</f>
        <v>44</v>
      </c>
      <c r="R8" s="11">
        <f>Q8-E8</f>
        <v>12</v>
      </c>
    </row>
    <row r="9" s="1" customFormat="1" spans="1:18">
      <c r="A9" s="8" t="s">
        <v>262</v>
      </c>
      <c r="B9" s="8" t="s">
        <v>270</v>
      </c>
      <c r="C9" s="8">
        <v>540.69</v>
      </c>
      <c r="D9" s="8">
        <v>509.69</v>
      </c>
      <c r="E9" s="9">
        <f>RANK(D9,$D$2:$D$63)</f>
        <v>8</v>
      </c>
      <c r="F9" s="8">
        <v>291.69</v>
      </c>
      <c r="G9" s="8">
        <v>114.5</v>
      </c>
      <c r="H9" s="8">
        <v>75</v>
      </c>
      <c r="I9" s="8">
        <v>102.19</v>
      </c>
      <c r="J9" s="8">
        <v>74</v>
      </c>
      <c r="K9" s="8">
        <v>75</v>
      </c>
      <c r="L9" s="8">
        <v>81</v>
      </c>
      <c r="M9" s="8">
        <v>94</v>
      </c>
      <c r="N9" s="8">
        <v>62</v>
      </c>
      <c r="O9" s="8" t="s">
        <v>21</v>
      </c>
      <c r="P9" s="10">
        <v>527</v>
      </c>
      <c r="Q9" s="9">
        <f>RANK(P9,$P$2:$P$63)</f>
        <v>18</v>
      </c>
      <c r="R9" s="11">
        <f>Q9-E9</f>
        <v>10</v>
      </c>
    </row>
    <row r="10" s="1" customFormat="1" spans="1:18">
      <c r="A10" s="8" t="s">
        <v>262</v>
      </c>
      <c r="B10" s="8" t="s">
        <v>271</v>
      </c>
      <c r="C10" s="8">
        <v>488.57</v>
      </c>
      <c r="D10" s="8">
        <v>453.57</v>
      </c>
      <c r="E10" s="9">
        <f>RANK(D10,$D$2:$D$63)</f>
        <v>29</v>
      </c>
      <c r="F10" s="8">
        <v>241.57</v>
      </c>
      <c r="G10" s="8">
        <v>114</v>
      </c>
      <c r="H10" s="8">
        <v>46</v>
      </c>
      <c r="I10" s="8">
        <v>81.57</v>
      </c>
      <c r="J10" s="8">
        <v>93</v>
      </c>
      <c r="K10" s="8">
        <v>88</v>
      </c>
      <c r="L10" s="8">
        <v>77</v>
      </c>
      <c r="M10" s="8">
        <v>77</v>
      </c>
      <c r="N10" s="8">
        <v>47</v>
      </c>
      <c r="O10" s="8" t="s">
        <v>21</v>
      </c>
      <c r="P10" s="10">
        <v>494</v>
      </c>
      <c r="Q10" s="9">
        <f>RANK(P10,$P$2:$P$63)</f>
        <v>38</v>
      </c>
      <c r="R10" s="11">
        <f>Q10-E10</f>
        <v>9</v>
      </c>
    </row>
    <row r="11" s="1" customFormat="1" spans="1:18">
      <c r="A11" s="8" t="s">
        <v>262</v>
      </c>
      <c r="B11" s="8" t="s">
        <v>272</v>
      </c>
      <c r="C11" s="8">
        <v>526.32</v>
      </c>
      <c r="D11" s="8">
        <v>496.32</v>
      </c>
      <c r="E11" s="9">
        <f>RANK(D11,$D$2:$D$63)</f>
        <v>13</v>
      </c>
      <c r="F11" s="8">
        <v>270.32</v>
      </c>
      <c r="G11" s="8">
        <v>109</v>
      </c>
      <c r="H11" s="8">
        <v>56</v>
      </c>
      <c r="I11" s="8">
        <v>105.32</v>
      </c>
      <c r="J11" s="8">
        <v>78</v>
      </c>
      <c r="K11" s="8">
        <v>80</v>
      </c>
      <c r="L11" s="8">
        <v>85</v>
      </c>
      <c r="M11" s="8">
        <v>93</v>
      </c>
      <c r="N11" s="8">
        <v>61</v>
      </c>
      <c r="O11" s="8" t="s">
        <v>21</v>
      </c>
      <c r="P11" s="10">
        <v>524</v>
      </c>
      <c r="Q11" s="9">
        <f>RANK(P11,$P$2:$P$63)</f>
        <v>20</v>
      </c>
      <c r="R11" s="11">
        <f>Q11-E11</f>
        <v>7</v>
      </c>
    </row>
    <row r="12" s="1" customFormat="1" spans="1:18">
      <c r="A12" s="8" t="s">
        <v>262</v>
      </c>
      <c r="B12" s="8" t="s">
        <v>273</v>
      </c>
      <c r="C12" s="8">
        <v>515.94</v>
      </c>
      <c r="D12" s="8">
        <v>486.94</v>
      </c>
      <c r="E12" s="9">
        <f>RANK(D12,$D$2:$D$63)</f>
        <v>16</v>
      </c>
      <c r="F12" s="8">
        <v>290.94</v>
      </c>
      <c r="G12" s="8">
        <v>115</v>
      </c>
      <c r="H12" s="8">
        <v>75</v>
      </c>
      <c r="I12" s="8">
        <v>100.94</v>
      </c>
      <c r="J12" s="8">
        <v>76</v>
      </c>
      <c r="K12" s="8">
        <v>77</v>
      </c>
      <c r="L12" s="8">
        <v>76</v>
      </c>
      <c r="M12" s="8">
        <v>73</v>
      </c>
      <c r="N12" s="8">
        <v>43</v>
      </c>
      <c r="O12" s="8" t="s">
        <v>21</v>
      </c>
      <c r="P12" s="10">
        <v>516</v>
      </c>
      <c r="Q12" s="9">
        <f>RANK(P12,$P$2:$P$63)</f>
        <v>23</v>
      </c>
      <c r="R12" s="11">
        <f>Q12-E12</f>
        <v>7</v>
      </c>
    </row>
    <row r="13" s="1" customFormat="1" spans="1:18">
      <c r="A13" s="8" t="s">
        <v>262</v>
      </c>
      <c r="B13" s="8" t="s">
        <v>274</v>
      </c>
      <c r="C13" s="8">
        <v>489.32</v>
      </c>
      <c r="D13" s="8">
        <v>461.32</v>
      </c>
      <c r="E13" s="9">
        <f>RANK(D13,$D$2:$D$63)</f>
        <v>25</v>
      </c>
      <c r="F13" s="8">
        <v>280.32</v>
      </c>
      <c r="G13" s="8">
        <v>115.5</v>
      </c>
      <c r="H13" s="8">
        <v>62</v>
      </c>
      <c r="I13" s="8">
        <v>102.82</v>
      </c>
      <c r="J13" s="8">
        <v>52</v>
      </c>
      <c r="K13" s="8">
        <v>54</v>
      </c>
      <c r="L13" s="8">
        <v>81</v>
      </c>
      <c r="M13" s="8">
        <v>76</v>
      </c>
      <c r="N13" s="8">
        <v>46</v>
      </c>
      <c r="O13" s="8" t="s">
        <v>21</v>
      </c>
      <c r="P13" s="10">
        <v>501</v>
      </c>
      <c r="Q13" s="9">
        <f>RANK(P13,$P$2:$P$63)</f>
        <v>32</v>
      </c>
      <c r="R13" s="11">
        <f>Q13-E13</f>
        <v>7</v>
      </c>
    </row>
    <row r="14" s="1" customFormat="1" spans="1:18">
      <c r="A14" s="8" t="s">
        <v>262</v>
      </c>
      <c r="B14" s="8" t="s">
        <v>275</v>
      </c>
      <c r="C14" s="8">
        <v>444.82</v>
      </c>
      <c r="D14" s="8">
        <v>421.82</v>
      </c>
      <c r="E14" s="9">
        <f>RANK(D14,$D$2:$D$63)</f>
        <v>37</v>
      </c>
      <c r="F14" s="8">
        <v>267.82</v>
      </c>
      <c r="G14" s="8">
        <v>102.5</v>
      </c>
      <c r="H14" s="8">
        <v>65</v>
      </c>
      <c r="I14" s="8">
        <v>100.32</v>
      </c>
      <c r="J14" s="8">
        <v>50</v>
      </c>
      <c r="K14" s="8">
        <v>53</v>
      </c>
      <c r="L14" s="8">
        <v>66</v>
      </c>
      <c r="M14" s="8">
        <v>61</v>
      </c>
      <c r="N14" s="8">
        <v>35</v>
      </c>
      <c r="O14" s="8" t="s">
        <v>21</v>
      </c>
      <c r="P14" s="10">
        <v>488</v>
      </c>
      <c r="Q14" s="9">
        <f>RANK(P14,$P$2:$P$63)</f>
        <v>43</v>
      </c>
      <c r="R14" s="11">
        <f>Q14-E14</f>
        <v>6</v>
      </c>
    </row>
    <row r="15" s="1" customFormat="1" spans="1:18">
      <c r="A15" s="8" t="s">
        <v>262</v>
      </c>
      <c r="B15" s="8" t="s">
        <v>276</v>
      </c>
      <c r="C15" s="8">
        <v>589.13</v>
      </c>
      <c r="D15" s="8">
        <v>560.13</v>
      </c>
      <c r="E15" s="9">
        <f>RANK(D15,$D$2:$D$63)</f>
        <v>1</v>
      </c>
      <c r="F15" s="8">
        <v>334.13</v>
      </c>
      <c r="G15" s="8">
        <v>122.5</v>
      </c>
      <c r="H15" s="8">
        <v>86</v>
      </c>
      <c r="I15" s="8">
        <v>125.63</v>
      </c>
      <c r="J15" s="8">
        <v>83</v>
      </c>
      <c r="K15" s="8">
        <v>85</v>
      </c>
      <c r="L15" s="8">
        <v>83</v>
      </c>
      <c r="M15" s="8">
        <v>89</v>
      </c>
      <c r="N15" s="8">
        <v>58</v>
      </c>
      <c r="O15" s="8" t="s">
        <v>21</v>
      </c>
      <c r="P15" s="10">
        <v>533</v>
      </c>
      <c r="Q15" s="9">
        <f>RANK(P15,$P$2:$P$63)</f>
        <v>6</v>
      </c>
      <c r="R15" s="11">
        <f>Q15-E15</f>
        <v>5</v>
      </c>
    </row>
    <row r="16" s="1" customFormat="1" spans="1:18">
      <c r="A16" s="8" t="s">
        <v>262</v>
      </c>
      <c r="B16" s="8" t="s">
        <v>277</v>
      </c>
      <c r="C16" s="8">
        <v>558.19</v>
      </c>
      <c r="D16" s="8">
        <v>530.19</v>
      </c>
      <c r="E16" s="9">
        <f>RANK(D16,$D$2:$D$63)</f>
        <v>5</v>
      </c>
      <c r="F16" s="8">
        <v>309.19</v>
      </c>
      <c r="G16" s="8">
        <v>112.5</v>
      </c>
      <c r="H16" s="8">
        <v>87</v>
      </c>
      <c r="I16" s="8">
        <v>109.69</v>
      </c>
      <c r="J16" s="8">
        <v>83</v>
      </c>
      <c r="K16" s="8">
        <v>85</v>
      </c>
      <c r="L16" s="8">
        <v>83</v>
      </c>
      <c r="M16" s="8">
        <v>83</v>
      </c>
      <c r="N16" s="8">
        <v>53</v>
      </c>
      <c r="O16" s="8" t="s">
        <v>21</v>
      </c>
      <c r="P16" s="10">
        <v>531</v>
      </c>
      <c r="Q16" s="9">
        <f>RANK(P16,$P$2:$P$63)</f>
        <v>10</v>
      </c>
      <c r="R16" s="11">
        <f>Q16-E16</f>
        <v>5</v>
      </c>
    </row>
    <row r="17" s="1" customFormat="1" spans="1:18">
      <c r="A17" s="8" t="s">
        <v>262</v>
      </c>
      <c r="B17" s="8" t="s">
        <v>278</v>
      </c>
      <c r="C17" s="8">
        <v>520</v>
      </c>
      <c r="D17" s="8">
        <v>491</v>
      </c>
      <c r="E17" s="9">
        <f>RANK(D17,$D$2:$D$63)</f>
        <v>14</v>
      </c>
      <c r="F17" s="8">
        <v>296</v>
      </c>
      <c r="G17" s="8">
        <v>114</v>
      </c>
      <c r="H17" s="8">
        <v>57</v>
      </c>
      <c r="I17" s="8">
        <v>125</v>
      </c>
      <c r="J17" s="8">
        <v>71</v>
      </c>
      <c r="K17" s="8">
        <v>72</v>
      </c>
      <c r="L17" s="8">
        <v>77</v>
      </c>
      <c r="M17" s="8">
        <v>76</v>
      </c>
      <c r="N17" s="8">
        <v>46</v>
      </c>
      <c r="O17" s="8" t="s">
        <v>21</v>
      </c>
      <c r="P17" s="10">
        <v>528</v>
      </c>
      <c r="Q17" s="9">
        <f>RANK(P17,$P$2:$P$63)</f>
        <v>16</v>
      </c>
      <c r="R17" s="11">
        <f>Q17-E17</f>
        <v>2</v>
      </c>
    </row>
    <row r="18" s="1" customFormat="1" spans="1:18">
      <c r="A18" s="8" t="s">
        <v>262</v>
      </c>
      <c r="B18" s="8" t="s">
        <v>279</v>
      </c>
      <c r="C18" s="8">
        <v>547</v>
      </c>
      <c r="D18" s="8">
        <v>518</v>
      </c>
      <c r="E18" s="9">
        <f>RANK(D18,$D$2:$D$63)</f>
        <v>6</v>
      </c>
      <c r="F18" s="8">
        <v>310</v>
      </c>
      <c r="G18" s="8">
        <v>112.5</v>
      </c>
      <c r="H18" s="8">
        <v>67</v>
      </c>
      <c r="I18" s="8" t="s">
        <v>21</v>
      </c>
      <c r="J18" s="8">
        <v>71</v>
      </c>
      <c r="K18" s="8">
        <v>72</v>
      </c>
      <c r="L18" s="8">
        <v>86</v>
      </c>
      <c r="M18" s="8">
        <v>80</v>
      </c>
      <c r="N18" s="8">
        <v>50</v>
      </c>
      <c r="O18" s="8">
        <v>130.5</v>
      </c>
      <c r="P18" s="10">
        <v>532</v>
      </c>
      <c r="Q18" s="9">
        <f>RANK(P18,$P$2:$P$63)</f>
        <v>7</v>
      </c>
      <c r="R18" s="11">
        <f>Q18-E18</f>
        <v>1</v>
      </c>
    </row>
    <row r="19" s="1" customFormat="1" spans="1:18">
      <c r="A19" s="8" t="s">
        <v>262</v>
      </c>
      <c r="B19" s="8" t="s">
        <v>280</v>
      </c>
      <c r="C19" s="8">
        <v>529.07</v>
      </c>
      <c r="D19" s="8">
        <v>500.07</v>
      </c>
      <c r="E19" s="9">
        <f>RANK(D19,$D$2:$D$63)</f>
        <v>9</v>
      </c>
      <c r="F19" s="8">
        <v>288.07</v>
      </c>
      <c r="G19" s="8">
        <v>116.5</v>
      </c>
      <c r="H19" s="8">
        <v>80</v>
      </c>
      <c r="I19" s="8">
        <v>91.57</v>
      </c>
      <c r="J19" s="8">
        <v>74</v>
      </c>
      <c r="K19" s="8">
        <v>75</v>
      </c>
      <c r="L19" s="8">
        <v>85</v>
      </c>
      <c r="M19" s="8">
        <v>82</v>
      </c>
      <c r="N19" s="8">
        <v>52</v>
      </c>
      <c r="O19" s="8" t="s">
        <v>21</v>
      </c>
      <c r="P19" s="10">
        <v>531</v>
      </c>
      <c r="Q19" s="9">
        <f>RANK(P19,$P$2:$P$63)</f>
        <v>10</v>
      </c>
      <c r="R19" s="11">
        <f>Q19-E19</f>
        <v>1</v>
      </c>
    </row>
    <row r="20" s="1" customFormat="1" spans="1:18">
      <c r="A20" s="8" t="s">
        <v>262</v>
      </c>
      <c r="B20" s="8" t="s">
        <v>281</v>
      </c>
      <c r="C20" s="8">
        <v>513.44</v>
      </c>
      <c r="D20" s="8">
        <v>487.44</v>
      </c>
      <c r="E20" s="9">
        <f>RANK(D20,$D$2:$D$63)</f>
        <v>15</v>
      </c>
      <c r="F20" s="8">
        <v>300.44</v>
      </c>
      <c r="G20" s="8">
        <v>115</v>
      </c>
      <c r="H20" s="8">
        <v>77</v>
      </c>
      <c r="I20" s="8">
        <v>108.44</v>
      </c>
      <c r="J20" s="8">
        <v>75</v>
      </c>
      <c r="K20" s="8">
        <v>76</v>
      </c>
      <c r="L20" s="8">
        <v>75</v>
      </c>
      <c r="M20" s="8">
        <v>63</v>
      </c>
      <c r="N20" s="8">
        <v>36</v>
      </c>
      <c r="O20" s="8" t="s">
        <v>21</v>
      </c>
      <c r="P20" s="10">
        <v>528</v>
      </c>
      <c r="Q20" s="9">
        <f>RANK(P20,$P$2:$P$63)</f>
        <v>16</v>
      </c>
      <c r="R20" s="11">
        <f>Q20-E20</f>
        <v>1</v>
      </c>
    </row>
    <row r="21" s="1" customFormat="1" spans="1:18">
      <c r="A21" s="8" t="s">
        <v>262</v>
      </c>
      <c r="B21" s="8" t="s">
        <v>282</v>
      </c>
      <c r="C21" s="8">
        <v>508.57</v>
      </c>
      <c r="D21" s="8">
        <v>480.57</v>
      </c>
      <c r="E21" s="9">
        <f>RANK(D21,$D$2:$D$63)</f>
        <v>18</v>
      </c>
      <c r="F21" s="8">
        <v>276.57</v>
      </c>
      <c r="G21" s="8">
        <v>113</v>
      </c>
      <c r="H21" s="8">
        <v>62</v>
      </c>
      <c r="I21" s="8">
        <v>101.57</v>
      </c>
      <c r="J21" s="8">
        <v>75</v>
      </c>
      <c r="K21" s="8">
        <v>76</v>
      </c>
      <c r="L21" s="8">
        <v>89</v>
      </c>
      <c r="M21" s="8">
        <v>68</v>
      </c>
      <c r="N21" s="8">
        <v>39</v>
      </c>
      <c r="O21" s="8" t="s">
        <v>21</v>
      </c>
      <c r="P21" s="10">
        <v>525</v>
      </c>
      <c r="Q21" s="9">
        <f>RANK(P21,$P$2:$P$63)</f>
        <v>19</v>
      </c>
      <c r="R21" s="11">
        <f>Q21-E21</f>
        <v>1</v>
      </c>
    </row>
    <row r="22" s="1" customFormat="1" spans="1:18">
      <c r="A22" s="8" t="s">
        <v>262</v>
      </c>
      <c r="B22" s="8" t="s">
        <v>283</v>
      </c>
      <c r="C22" s="8">
        <v>479.5</v>
      </c>
      <c r="D22" s="8">
        <v>453.5</v>
      </c>
      <c r="E22" s="9">
        <f>RANK(D22,$D$2:$D$63)</f>
        <v>30</v>
      </c>
      <c r="F22" s="8">
        <v>273.5</v>
      </c>
      <c r="G22" s="8">
        <v>107</v>
      </c>
      <c r="H22" s="8">
        <v>42</v>
      </c>
      <c r="I22" s="8" t="s">
        <v>21</v>
      </c>
      <c r="J22" s="8">
        <v>46</v>
      </c>
      <c r="K22" s="8">
        <v>50</v>
      </c>
      <c r="L22" s="8">
        <v>78</v>
      </c>
      <c r="M22" s="8">
        <v>82</v>
      </c>
      <c r="N22" s="8">
        <v>52</v>
      </c>
      <c r="O22" s="8">
        <v>124.5</v>
      </c>
      <c r="P22" s="10">
        <v>504</v>
      </c>
      <c r="Q22" s="9">
        <f>RANK(P22,$P$2:$P$63)</f>
        <v>31</v>
      </c>
      <c r="R22" s="11">
        <f>Q22-E22</f>
        <v>1</v>
      </c>
    </row>
    <row r="23" s="1" customFormat="1" spans="1:18">
      <c r="A23" s="8" t="s">
        <v>262</v>
      </c>
      <c r="B23" s="8" t="s">
        <v>284</v>
      </c>
      <c r="C23" s="8">
        <v>455.5</v>
      </c>
      <c r="D23" s="8">
        <v>426.5</v>
      </c>
      <c r="E23" s="9">
        <f>RANK(D23,$D$2:$D$63)</f>
        <v>34</v>
      </c>
      <c r="F23" s="8">
        <v>250.5</v>
      </c>
      <c r="G23" s="8">
        <v>117.5</v>
      </c>
      <c r="H23" s="8">
        <v>34</v>
      </c>
      <c r="I23" s="8" t="s">
        <v>21</v>
      </c>
      <c r="J23" s="8">
        <v>56</v>
      </c>
      <c r="K23" s="8">
        <v>57</v>
      </c>
      <c r="L23" s="8">
        <v>79</v>
      </c>
      <c r="M23" s="8">
        <v>70</v>
      </c>
      <c r="N23" s="8">
        <v>40</v>
      </c>
      <c r="O23" s="8">
        <v>99</v>
      </c>
      <c r="P23" s="10">
        <v>499</v>
      </c>
      <c r="Q23" s="9">
        <f>RANK(P23,$P$2:$P$63)</f>
        <v>35</v>
      </c>
      <c r="R23" s="11">
        <f>Q23-E23</f>
        <v>1</v>
      </c>
    </row>
    <row r="24" s="1" customFormat="1" spans="1:18">
      <c r="A24" s="8" t="s">
        <v>262</v>
      </c>
      <c r="B24" s="8" t="s">
        <v>285</v>
      </c>
      <c r="C24" s="8">
        <v>563.63</v>
      </c>
      <c r="D24" s="8">
        <v>535.63</v>
      </c>
      <c r="E24" s="9">
        <f>RANK(D24,$D$2:$D$63)</f>
        <v>3</v>
      </c>
      <c r="F24" s="8">
        <v>328.63</v>
      </c>
      <c r="G24" s="8">
        <v>117.5</v>
      </c>
      <c r="H24" s="8">
        <v>83</v>
      </c>
      <c r="I24" s="8">
        <v>128.13</v>
      </c>
      <c r="J24" s="8">
        <v>86</v>
      </c>
      <c r="K24" s="8">
        <v>86</v>
      </c>
      <c r="L24" s="8">
        <v>83</v>
      </c>
      <c r="M24" s="8">
        <v>66</v>
      </c>
      <c r="N24" s="8">
        <v>38</v>
      </c>
      <c r="O24" s="8" t="s">
        <v>21</v>
      </c>
      <c r="P24" s="10">
        <v>534</v>
      </c>
      <c r="Q24" s="9">
        <f>RANK(P24,$P$2:$P$63)</f>
        <v>3</v>
      </c>
      <c r="R24" s="11">
        <f>Q24-E24</f>
        <v>0</v>
      </c>
    </row>
    <row r="25" s="1" customFormat="1" spans="1:18">
      <c r="A25" s="8" t="s">
        <v>262</v>
      </c>
      <c r="B25" s="8" t="s">
        <v>286</v>
      </c>
      <c r="C25" s="8">
        <v>526.19</v>
      </c>
      <c r="D25" s="8">
        <v>497.19</v>
      </c>
      <c r="E25" s="9">
        <f>RANK(D25,$D$2:$D$63)</f>
        <v>10</v>
      </c>
      <c r="F25" s="8">
        <v>300.19</v>
      </c>
      <c r="G25" s="8">
        <v>120</v>
      </c>
      <c r="H25" s="8">
        <v>63</v>
      </c>
      <c r="I25" s="8">
        <v>117.19</v>
      </c>
      <c r="J25" s="8">
        <v>69</v>
      </c>
      <c r="K25" s="8">
        <v>70</v>
      </c>
      <c r="L25" s="8">
        <v>74</v>
      </c>
      <c r="M25" s="8">
        <v>83</v>
      </c>
      <c r="N25" s="8">
        <v>53</v>
      </c>
      <c r="O25" s="8" t="s">
        <v>21</v>
      </c>
      <c r="P25" s="10">
        <v>531</v>
      </c>
      <c r="Q25" s="9">
        <f>RANK(P25,$P$2:$P$63)</f>
        <v>10</v>
      </c>
      <c r="R25" s="11">
        <f>Q25-E25</f>
        <v>0</v>
      </c>
    </row>
    <row r="26" s="1" customFormat="1" spans="1:18">
      <c r="A26" s="8" t="s">
        <v>262</v>
      </c>
      <c r="B26" s="8" t="s">
        <v>287</v>
      </c>
      <c r="C26" s="8">
        <v>440</v>
      </c>
      <c r="D26" s="8">
        <v>420</v>
      </c>
      <c r="E26" s="9">
        <f>RANK(D26,$D$2:$D$63)</f>
        <v>38</v>
      </c>
      <c r="F26" s="8">
        <v>260</v>
      </c>
      <c r="G26" s="8">
        <v>96.5</v>
      </c>
      <c r="H26" s="8">
        <v>38</v>
      </c>
      <c r="I26" s="8" t="s">
        <v>21</v>
      </c>
      <c r="J26" s="8">
        <v>30</v>
      </c>
      <c r="K26" s="8">
        <v>40</v>
      </c>
      <c r="L26" s="8">
        <v>78</v>
      </c>
      <c r="M26" s="8">
        <v>72</v>
      </c>
      <c r="N26" s="8">
        <v>42</v>
      </c>
      <c r="O26" s="8">
        <v>125.5</v>
      </c>
      <c r="P26" s="10">
        <v>494</v>
      </c>
      <c r="Q26" s="9">
        <f>RANK(P26,$P$2:$P$63)</f>
        <v>38</v>
      </c>
      <c r="R26" s="11">
        <f>Q26-E26</f>
        <v>0</v>
      </c>
    </row>
    <row r="27" s="1" customFormat="1" spans="1:18">
      <c r="A27" s="8" t="s">
        <v>262</v>
      </c>
      <c r="B27" s="8" t="s">
        <v>288</v>
      </c>
      <c r="C27" s="8">
        <v>580.13</v>
      </c>
      <c r="D27" s="8">
        <v>542.13</v>
      </c>
      <c r="E27" s="9">
        <f>RANK(D27,$D$2:$D$63)</f>
        <v>2</v>
      </c>
      <c r="F27" s="8">
        <v>322.13</v>
      </c>
      <c r="G27" s="8">
        <v>115.5</v>
      </c>
      <c r="H27" s="8">
        <v>81</v>
      </c>
      <c r="I27" s="8">
        <v>125.63</v>
      </c>
      <c r="J27" s="8">
        <v>97</v>
      </c>
      <c r="K27" s="8">
        <v>89</v>
      </c>
      <c r="L27" s="8">
        <v>87</v>
      </c>
      <c r="M27" s="8">
        <v>74</v>
      </c>
      <c r="N27" s="8">
        <v>44</v>
      </c>
      <c r="O27" s="8" t="s">
        <v>21</v>
      </c>
      <c r="P27" s="10">
        <v>546</v>
      </c>
      <c r="Q27" s="9">
        <f>RANK(P27,$P$2:$P$63)</f>
        <v>1</v>
      </c>
      <c r="R27" s="11">
        <f>Q27-E27</f>
        <v>-1</v>
      </c>
    </row>
    <row r="28" s="1" customFormat="1" spans="1:18">
      <c r="A28" s="8" t="s">
        <v>262</v>
      </c>
      <c r="B28" s="8" t="s">
        <v>289</v>
      </c>
      <c r="C28" s="8">
        <v>444.63</v>
      </c>
      <c r="D28" s="8">
        <v>413.63</v>
      </c>
      <c r="E28" s="9">
        <f>RANK(D28,$D$2:$D$63)</f>
        <v>42</v>
      </c>
      <c r="F28" s="8">
        <v>221.63</v>
      </c>
      <c r="G28" s="8">
        <v>112</v>
      </c>
      <c r="H28" s="8">
        <v>34</v>
      </c>
      <c r="I28" s="8">
        <v>75.63</v>
      </c>
      <c r="J28" s="8">
        <v>61</v>
      </c>
      <c r="K28" s="8">
        <v>61</v>
      </c>
      <c r="L28" s="8">
        <v>75</v>
      </c>
      <c r="M28" s="8">
        <v>87</v>
      </c>
      <c r="N28" s="8">
        <v>56</v>
      </c>
      <c r="O28" s="8" t="s">
        <v>21</v>
      </c>
      <c r="P28" s="10">
        <v>492</v>
      </c>
      <c r="Q28" s="9">
        <f>RANK(P28,$P$2:$P$63)</f>
        <v>41</v>
      </c>
      <c r="R28" s="11">
        <f>Q28-E28</f>
        <v>-1</v>
      </c>
    </row>
    <row r="29" s="1" customFormat="1" spans="1:18">
      <c r="A29" s="8" t="s">
        <v>262</v>
      </c>
      <c r="B29" s="8" t="s">
        <v>290</v>
      </c>
      <c r="C29" s="8">
        <v>481.19</v>
      </c>
      <c r="D29" s="8">
        <v>452.19</v>
      </c>
      <c r="E29" s="9">
        <f>RANK(D29,$D$2:$D$63)</f>
        <v>31</v>
      </c>
      <c r="F29" s="8">
        <v>274.19</v>
      </c>
      <c r="G29" s="8">
        <v>112.5</v>
      </c>
      <c r="H29" s="8">
        <v>62</v>
      </c>
      <c r="I29" s="8">
        <v>99.69</v>
      </c>
      <c r="J29" s="8">
        <v>64</v>
      </c>
      <c r="K29" s="8">
        <v>64</v>
      </c>
      <c r="L29" s="8">
        <v>75</v>
      </c>
      <c r="M29" s="8">
        <v>68</v>
      </c>
      <c r="N29" s="8">
        <v>39</v>
      </c>
      <c r="O29" s="8" t="s">
        <v>21</v>
      </c>
      <c r="P29" s="10">
        <v>507</v>
      </c>
      <c r="Q29" s="9">
        <f>RANK(P29,$P$2:$P$63)</f>
        <v>29</v>
      </c>
      <c r="R29" s="11">
        <f>Q29-E29</f>
        <v>-2</v>
      </c>
    </row>
    <row r="30" s="1" customFormat="1" spans="1:18">
      <c r="A30" s="8" t="s">
        <v>262</v>
      </c>
      <c r="B30" s="8" t="s">
        <v>291</v>
      </c>
      <c r="C30" s="8">
        <v>440.32</v>
      </c>
      <c r="D30" s="8">
        <v>422.32</v>
      </c>
      <c r="E30" s="9">
        <f>RANK(D30,$D$2:$D$63)</f>
        <v>36</v>
      </c>
      <c r="F30" s="8">
        <v>270.32</v>
      </c>
      <c r="G30" s="8">
        <v>114</v>
      </c>
      <c r="H30" s="8">
        <v>61</v>
      </c>
      <c r="I30" s="8">
        <v>95.32</v>
      </c>
      <c r="J30" s="8">
        <v>69</v>
      </c>
      <c r="K30" s="8">
        <v>70</v>
      </c>
      <c r="L30" s="8">
        <v>60</v>
      </c>
      <c r="M30" s="8">
        <v>41</v>
      </c>
      <c r="N30" s="8">
        <v>22</v>
      </c>
      <c r="O30" s="8" t="s">
        <v>21</v>
      </c>
      <c r="P30" s="10">
        <v>500</v>
      </c>
      <c r="Q30" s="9">
        <f>RANK(P30,$P$2:$P$63)</f>
        <v>34</v>
      </c>
      <c r="R30" s="11">
        <f>Q30-E30</f>
        <v>-2</v>
      </c>
    </row>
    <row r="31" s="1" customFormat="1" spans="1:18">
      <c r="A31" s="8" t="s">
        <v>262</v>
      </c>
      <c r="B31" s="8" t="s">
        <v>292</v>
      </c>
      <c r="C31" s="8">
        <v>487.82</v>
      </c>
      <c r="D31" s="8">
        <v>457.82</v>
      </c>
      <c r="E31" s="9">
        <f>RANK(D31,$D$2:$D$63)</f>
        <v>27</v>
      </c>
      <c r="F31" s="8">
        <v>256.82</v>
      </c>
      <c r="G31" s="8">
        <v>117</v>
      </c>
      <c r="H31" s="8">
        <v>52</v>
      </c>
      <c r="I31" s="8">
        <v>87.82</v>
      </c>
      <c r="J31" s="8">
        <v>63</v>
      </c>
      <c r="K31" s="8">
        <v>63</v>
      </c>
      <c r="L31" s="8">
        <v>85</v>
      </c>
      <c r="M31" s="8">
        <v>83</v>
      </c>
      <c r="N31" s="8">
        <v>53</v>
      </c>
      <c r="O31" s="8" t="s">
        <v>21</v>
      </c>
      <c r="P31" s="10">
        <v>512</v>
      </c>
      <c r="Q31" s="9">
        <f>RANK(P31,$P$2:$P$63)</f>
        <v>24</v>
      </c>
      <c r="R31" s="11">
        <f>Q31-E31</f>
        <v>-3</v>
      </c>
    </row>
    <row r="32" s="1" customFormat="1" spans="1:18">
      <c r="A32" s="8" t="s">
        <v>262</v>
      </c>
      <c r="B32" s="8" t="s">
        <v>293</v>
      </c>
      <c r="C32" s="8">
        <v>524.82</v>
      </c>
      <c r="D32" s="8">
        <v>496.82</v>
      </c>
      <c r="E32" s="9">
        <f>RANK(D32,$D$2:$D$63)</f>
        <v>11</v>
      </c>
      <c r="F32" s="8">
        <v>285.82</v>
      </c>
      <c r="G32" s="8">
        <v>105.5</v>
      </c>
      <c r="H32" s="8">
        <v>75</v>
      </c>
      <c r="I32" s="8">
        <v>105.32</v>
      </c>
      <c r="J32" s="8">
        <v>83</v>
      </c>
      <c r="K32" s="8">
        <v>85</v>
      </c>
      <c r="L32" s="8">
        <v>82</v>
      </c>
      <c r="M32" s="8">
        <v>74</v>
      </c>
      <c r="N32" s="8">
        <v>44</v>
      </c>
      <c r="O32" s="8" t="s">
        <v>21</v>
      </c>
      <c r="P32" s="10">
        <v>532</v>
      </c>
      <c r="Q32" s="9">
        <f>RANK(P32,$P$2:$P$63)</f>
        <v>7</v>
      </c>
      <c r="R32" s="11">
        <f>Q32-E32</f>
        <v>-4</v>
      </c>
    </row>
    <row r="33" s="1" customFormat="1" spans="1:18">
      <c r="A33" s="8" t="s">
        <v>262</v>
      </c>
      <c r="B33" s="8" t="s">
        <v>294</v>
      </c>
      <c r="C33" s="8">
        <v>504.19</v>
      </c>
      <c r="D33" s="8">
        <v>475.19</v>
      </c>
      <c r="E33" s="9">
        <f>RANK(D33,$D$2:$D$63)</f>
        <v>19</v>
      </c>
      <c r="F33" s="8">
        <v>281.19</v>
      </c>
      <c r="G33" s="8">
        <v>118.5</v>
      </c>
      <c r="H33" s="8">
        <v>68</v>
      </c>
      <c r="I33" s="8">
        <v>94.69</v>
      </c>
      <c r="J33" s="8">
        <v>73</v>
      </c>
      <c r="K33" s="8">
        <v>74</v>
      </c>
      <c r="L33" s="8">
        <v>79</v>
      </c>
      <c r="M33" s="8">
        <v>71</v>
      </c>
      <c r="N33" s="8">
        <v>41</v>
      </c>
      <c r="O33" s="8" t="s">
        <v>21</v>
      </c>
      <c r="P33" s="10">
        <v>530</v>
      </c>
      <c r="Q33" s="9">
        <f>RANK(P33,$P$2:$P$63)</f>
        <v>15</v>
      </c>
      <c r="R33" s="11">
        <f>Q33-E33</f>
        <v>-4</v>
      </c>
    </row>
    <row r="34" s="1" customFormat="1" spans="1:18">
      <c r="A34" s="8" t="s">
        <v>262</v>
      </c>
      <c r="B34" s="8" t="s">
        <v>295</v>
      </c>
      <c r="C34" s="8">
        <v>553.32</v>
      </c>
      <c r="D34" s="8">
        <v>515.32</v>
      </c>
      <c r="E34" s="9">
        <f>RANK(D34,$D$2:$D$63)</f>
        <v>7</v>
      </c>
      <c r="F34" s="8">
        <v>302.32</v>
      </c>
      <c r="G34" s="8">
        <v>118</v>
      </c>
      <c r="H34" s="8">
        <v>69</v>
      </c>
      <c r="I34" s="8">
        <v>115.32</v>
      </c>
      <c r="J34" s="8">
        <v>97</v>
      </c>
      <c r="K34" s="8">
        <v>89</v>
      </c>
      <c r="L34" s="8">
        <v>78</v>
      </c>
      <c r="M34" s="8">
        <v>76</v>
      </c>
      <c r="N34" s="8">
        <v>46</v>
      </c>
      <c r="O34" s="8" t="s">
        <v>21</v>
      </c>
      <c r="P34" s="10">
        <v>540</v>
      </c>
      <c r="Q34" s="9">
        <f>RANK(P34,$P$2:$P$63)</f>
        <v>2</v>
      </c>
      <c r="R34" s="11">
        <f>Q34-E34</f>
        <v>-5</v>
      </c>
    </row>
    <row r="35" s="1" customFormat="1" spans="1:18">
      <c r="A35" s="8" t="s">
        <v>262</v>
      </c>
      <c r="B35" s="8" t="s">
        <v>296</v>
      </c>
      <c r="C35" s="8">
        <v>409.25</v>
      </c>
      <c r="D35" s="8">
        <v>390.25</v>
      </c>
      <c r="E35" s="9">
        <f>RANK(D35,$D$2:$D$63)</f>
        <v>43</v>
      </c>
      <c r="F35" s="8">
        <v>242.25</v>
      </c>
      <c r="G35" s="8">
        <v>104.5</v>
      </c>
      <c r="H35" s="8">
        <v>59</v>
      </c>
      <c r="I35" s="8">
        <v>78.75</v>
      </c>
      <c r="J35" s="8">
        <v>55</v>
      </c>
      <c r="K35" s="8">
        <v>56</v>
      </c>
      <c r="L35" s="8">
        <v>68</v>
      </c>
      <c r="M35" s="8">
        <v>44</v>
      </c>
      <c r="N35" s="8">
        <v>24</v>
      </c>
      <c r="O35" s="8" t="s">
        <v>21</v>
      </c>
      <c r="P35" s="10">
        <v>497</v>
      </c>
      <c r="Q35" s="9">
        <f>RANK(P35,$P$2:$P$63)</f>
        <v>36</v>
      </c>
      <c r="R35" s="11">
        <f>Q35-E35</f>
        <v>-7</v>
      </c>
    </row>
    <row r="36" s="1" customFormat="1" spans="1:18">
      <c r="A36" s="8" t="s">
        <v>262</v>
      </c>
      <c r="B36" s="8" t="s">
        <v>297</v>
      </c>
      <c r="C36" s="8">
        <v>446.75</v>
      </c>
      <c r="D36" s="8">
        <v>425.75</v>
      </c>
      <c r="E36" s="9">
        <f>RANK(D36,$D$2:$D$63)</f>
        <v>35</v>
      </c>
      <c r="F36" s="8">
        <v>245.75</v>
      </c>
      <c r="G36" s="8">
        <v>103.5</v>
      </c>
      <c r="H36" s="8">
        <v>41</v>
      </c>
      <c r="I36" s="8">
        <v>101.25</v>
      </c>
      <c r="J36" s="8">
        <v>72</v>
      </c>
      <c r="K36" s="8">
        <v>73</v>
      </c>
      <c r="L36" s="8">
        <v>80</v>
      </c>
      <c r="M36" s="8">
        <v>49</v>
      </c>
      <c r="N36" s="8">
        <v>27</v>
      </c>
      <c r="O36" s="8" t="s">
        <v>21</v>
      </c>
      <c r="P36" s="10">
        <v>510</v>
      </c>
      <c r="Q36" s="9">
        <f>RANK(P36,$P$2:$P$63)</f>
        <v>27</v>
      </c>
      <c r="R36" s="11">
        <f>Q36-E36</f>
        <v>-8</v>
      </c>
    </row>
    <row r="37" s="1" customFormat="1" spans="1:18">
      <c r="A37" s="8" t="s">
        <v>262</v>
      </c>
      <c r="B37" s="8" t="s">
        <v>298</v>
      </c>
      <c r="C37" s="8">
        <v>441.82</v>
      </c>
      <c r="D37" s="8">
        <v>418.82</v>
      </c>
      <c r="E37" s="9">
        <f>RANK(D37,$D$2:$D$63)</f>
        <v>39</v>
      </c>
      <c r="F37" s="8">
        <v>244.82</v>
      </c>
      <c r="G37" s="8">
        <v>104</v>
      </c>
      <c r="H37" s="8">
        <v>58</v>
      </c>
      <c r="I37" s="8">
        <v>82.82</v>
      </c>
      <c r="J37" s="8">
        <v>67</v>
      </c>
      <c r="K37" s="8">
        <v>68</v>
      </c>
      <c r="L37" s="8">
        <v>75</v>
      </c>
      <c r="M37" s="8">
        <v>55</v>
      </c>
      <c r="N37" s="8">
        <v>31</v>
      </c>
      <c r="O37" s="8" t="s">
        <v>21</v>
      </c>
      <c r="P37" s="10">
        <v>509</v>
      </c>
      <c r="Q37" s="9">
        <f>RANK(P37,$P$2:$P$63)</f>
        <v>28</v>
      </c>
      <c r="R37" s="11">
        <f>Q37-E37</f>
        <v>-11</v>
      </c>
    </row>
    <row r="38" s="1" customFormat="1" spans="1:18">
      <c r="A38" s="8" t="s">
        <v>262</v>
      </c>
      <c r="B38" s="8" t="s">
        <v>299</v>
      </c>
      <c r="C38" s="8">
        <v>498.25</v>
      </c>
      <c r="D38" s="8">
        <v>469.25</v>
      </c>
      <c r="E38" s="9">
        <f>RANK(D38,$D$2:$D$63)</f>
        <v>22</v>
      </c>
      <c r="F38" s="8">
        <v>288.25</v>
      </c>
      <c r="G38" s="8">
        <v>119</v>
      </c>
      <c r="H38" s="8">
        <v>58</v>
      </c>
      <c r="I38" s="8">
        <v>111.25</v>
      </c>
      <c r="J38" s="8">
        <v>55</v>
      </c>
      <c r="K38" s="8">
        <v>56</v>
      </c>
      <c r="L38" s="8">
        <v>80</v>
      </c>
      <c r="M38" s="8">
        <v>75</v>
      </c>
      <c r="N38" s="8">
        <v>45</v>
      </c>
      <c r="O38" s="8" t="s">
        <v>21</v>
      </c>
      <c r="P38" s="10">
        <v>531</v>
      </c>
      <c r="Q38" s="9">
        <f>RANK(P38,$P$2:$P$63)</f>
        <v>10</v>
      </c>
      <c r="R38" s="11">
        <f>Q38-E38</f>
        <v>-12</v>
      </c>
    </row>
    <row r="39" s="1" customFormat="1" spans="1:18">
      <c r="A39" s="8" t="s">
        <v>262</v>
      </c>
      <c r="B39" s="8" t="s">
        <v>300</v>
      </c>
      <c r="C39" s="8">
        <v>492.88</v>
      </c>
      <c r="D39" s="8">
        <v>465.88</v>
      </c>
      <c r="E39" s="9">
        <f>RANK(D39,$D$2:$D$63)</f>
        <v>23</v>
      </c>
      <c r="F39" s="8">
        <v>269.88</v>
      </c>
      <c r="G39" s="8">
        <v>119.5</v>
      </c>
      <c r="H39" s="8">
        <v>61</v>
      </c>
      <c r="I39" s="8">
        <v>89.38</v>
      </c>
      <c r="J39" s="8">
        <v>40</v>
      </c>
      <c r="K39" s="8">
        <v>45</v>
      </c>
      <c r="L39" s="8">
        <v>88</v>
      </c>
      <c r="M39" s="8">
        <v>95</v>
      </c>
      <c r="N39" s="8">
        <v>63</v>
      </c>
      <c r="O39" s="8" t="s">
        <v>21</v>
      </c>
      <c r="P39" s="10">
        <v>531</v>
      </c>
      <c r="Q39" s="9">
        <f>RANK(P39,$P$2:$P$63)</f>
        <v>10</v>
      </c>
      <c r="R39" s="11">
        <f>Q39-E39</f>
        <v>-13</v>
      </c>
    </row>
    <row r="40" s="1" customFormat="1" spans="1:18">
      <c r="A40" s="8" t="s">
        <v>262</v>
      </c>
      <c r="B40" s="8" t="s">
        <v>301</v>
      </c>
      <c r="C40" s="8">
        <v>452.32</v>
      </c>
      <c r="D40" s="8">
        <v>428.32</v>
      </c>
      <c r="E40" s="9">
        <f>RANK(D40,$D$2:$D$63)</f>
        <v>33</v>
      </c>
      <c r="F40" s="8">
        <v>252.32</v>
      </c>
      <c r="G40" s="8">
        <v>106</v>
      </c>
      <c r="H40" s="8">
        <v>56</v>
      </c>
      <c r="I40" s="8">
        <v>90.32</v>
      </c>
      <c r="J40" s="8">
        <v>67</v>
      </c>
      <c r="K40" s="8">
        <v>68</v>
      </c>
      <c r="L40" s="8">
        <v>74</v>
      </c>
      <c r="M40" s="8">
        <v>59</v>
      </c>
      <c r="N40" s="8">
        <v>34</v>
      </c>
      <c r="O40" s="8" t="s">
        <v>21</v>
      </c>
      <c r="P40" s="10">
        <v>524</v>
      </c>
      <c r="Q40" s="9">
        <f>RANK(P40,$P$2:$P$63)</f>
        <v>20</v>
      </c>
      <c r="R40" s="11">
        <f>Q40-E40</f>
        <v>-13</v>
      </c>
    </row>
    <row r="41" s="1" customFormat="1" spans="1:18">
      <c r="A41" s="8" t="s">
        <v>262</v>
      </c>
      <c r="B41" s="8" t="s">
        <v>302</v>
      </c>
      <c r="C41" s="8">
        <v>400.5</v>
      </c>
      <c r="D41" s="8">
        <v>376.5</v>
      </c>
      <c r="E41" s="9">
        <f>RANK(D41,$D$2:$D$63)</f>
        <v>45</v>
      </c>
      <c r="F41" s="8">
        <v>218.5</v>
      </c>
      <c r="G41" s="8">
        <v>119.5</v>
      </c>
      <c r="H41" s="8">
        <v>24</v>
      </c>
      <c r="I41" s="8">
        <v>75</v>
      </c>
      <c r="J41" s="8">
        <v>41</v>
      </c>
      <c r="K41" s="8">
        <v>47</v>
      </c>
      <c r="L41" s="8">
        <v>71</v>
      </c>
      <c r="M41" s="8">
        <v>70</v>
      </c>
      <c r="N41" s="8">
        <v>40</v>
      </c>
      <c r="O41" s="8" t="s">
        <v>21</v>
      </c>
      <c r="P41" s="10">
        <v>501</v>
      </c>
      <c r="Q41" s="9">
        <f>RANK(P41,$P$2:$P$63)</f>
        <v>32</v>
      </c>
      <c r="R41" s="11">
        <f>Q41-E41</f>
        <v>-13</v>
      </c>
    </row>
    <row r="42" s="1" customFormat="1" spans="1:18">
      <c r="A42" s="8" t="s">
        <v>262</v>
      </c>
      <c r="B42" s="8" t="s">
        <v>303</v>
      </c>
      <c r="C42" s="8">
        <v>512.75</v>
      </c>
      <c r="D42" s="8">
        <v>484.75</v>
      </c>
      <c r="E42" s="9">
        <f>RANK(D42,$D$2:$D$63)</f>
        <v>17</v>
      </c>
      <c r="F42" s="8">
        <v>295.75</v>
      </c>
      <c r="G42" s="8">
        <v>123</v>
      </c>
      <c r="H42" s="8">
        <v>69</v>
      </c>
      <c r="I42" s="8">
        <v>103.75</v>
      </c>
      <c r="J42" s="8">
        <v>73</v>
      </c>
      <c r="K42" s="8">
        <v>74</v>
      </c>
      <c r="L42" s="8">
        <v>76</v>
      </c>
      <c r="M42" s="8">
        <v>68</v>
      </c>
      <c r="N42" s="8">
        <v>39</v>
      </c>
      <c r="O42" s="8" t="s">
        <v>21</v>
      </c>
      <c r="P42" s="10">
        <v>534</v>
      </c>
      <c r="Q42" s="9">
        <f>RANK(P42,$P$2:$P$63)</f>
        <v>3</v>
      </c>
      <c r="R42" s="11">
        <f>Q42-E42</f>
        <v>-14</v>
      </c>
    </row>
    <row r="43" s="1" customFormat="1" spans="1:18">
      <c r="A43" s="8" t="s">
        <v>262</v>
      </c>
      <c r="B43" s="8" t="s">
        <v>304</v>
      </c>
      <c r="C43" s="8">
        <v>447.57</v>
      </c>
      <c r="D43" s="8">
        <v>417.57</v>
      </c>
      <c r="E43" s="9">
        <f>RANK(D43,$D$2:$D$63)</f>
        <v>41</v>
      </c>
      <c r="F43" s="8">
        <v>239.57</v>
      </c>
      <c r="G43" s="8">
        <v>119.5</v>
      </c>
      <c r="H43" s="8">
        <v>46</v>
      </c>
      <c r="I43" s="8">
        <v>74.07</v>
      </c>
      <c r="J43" s="8">
        <v>63</v>
      </c>
      <c r="K43" s="8">
        <v>63</v>
      </c>
      <c r="L43" s="8">
        <v>72</v>
      </c>
      <c r="M43" s="8">
        <v>73</v>
      </c>
      <c r="N43" s="8">
        <v>43</v>
      </c>
      <c r="O43" s="8" t="s">
        <v>21</v>
      </c>
      <c r="P43" s="10">
        <v>518</v>
      </c>
      <c r="Q43" s="9">
        <f>RANK(P43,$P$2:$P$63)</f>
        <v>22</v>
      </c>
      <c r="R43" s="11">
        <f>Q43-E43</f>
        <v>-19</v>
      </c>
    </row>
    <row r="44" s="1" customFormat="1" spans="1:18">
      <c r="A44" s="8" t="s">
        <v>262</v>
      </c>
      <c r="B44" s="8" t="s">
        <v>305</v>
      </c>
      <c r="C44" s="8">
        <v>403.94</v>
      </c>
      <c r="D44" s="8">
        <v>376.94</v>
      </c>
      <c r="E44" s="9">
        <f>RANK(D44,$D$2:$D$63)</f>
        <v>44</v>
      </c>
      <c r="F44" s="8">
        <v>199.94</v>
      </c>
      <c r="G44" s="8">
        <v>121</v>
      </c>
      <c r="H44" s="8">
        <v>28</v>
      </c>
      <c r="I44" s="8">
        <v>50.94</v>
      </c>
      <c r="J44" s="8">
        <v>72</v>
      </c>
      <c r="K44" s="8">
        <v>73</v>
      </c>
      <c r="L44" s="8">
        <v>67</v>
      </c>
      <c r="M44" s="8">
        <v>65</v>
      </c>
      <c r="N44" s="8">
        <v>37</v>
      </c>
      <c r="O44" s="8" t="s">
        <v>21</v>
      </c>
      <c r="P44" s="10">
        <v>512</v>
      </c>
      <c r="Q44" s="9">
        <f>RANK(P44,$P$2:$P$63)</f>
        <v>24</v>
      </c>
      <c r="R44" s="11">
        <f>Q44-E44</f>
        <v>-20</v>
      </c>
    </row>
    <row r="45" s="1" customFormat="1" spans="1:18">
      <c r="A45" s="8" t="s">
        <v>262</v>
      </c>
      <c r="B45" s="8" t="s">
        <v>306</v>
      </c>
      <c r="C45" s="8">
        <v>481.82</v>
      </c>
      <c r="D45" s="8">
        <v>460.82</v>
      </c>
      <c r="E45" s="9">
        <f>RANK(D45,$D$2:$D$63)</f>
        <v>26</v>
      </c>
      <c r="F45" s="8">
        <v>270.82</v>
      </c>
      <c r="G45" s="8">
        <v>107.5</v>
      </c>
      <c r="H45" s="8">
        <v>53</v>
      </c>
      <c r="I45" s="8">
        <v>110.32</v>
      </c>
      <c r="J45" s="8">
        <v>79</v>
      </c>
      <c r="K45" s="8">
        <v>81</v>
      </c>
      <c r="L45" s="8">
        <v>79</v>
      </c>
      <c r="M45" s="8">
        <v>53</v>
      </c>
      <c r="N45" s="8">
        <v>30</v>
      </c>
      <c r="O45" s="8" t="s">
        <v>21</v>
      </c>
      <c r="P45" s="10">
        <v>534</v>
      </c>
      <c r="Q45" s="9">
        <f>RANK(P45,$P$2:$P$63)</f>
        <v>3</v>
      </c>
      <c r="R45" s="11">
        <f>Q45-E45</f>
        <v>-23</v>
      </c>
    </row>
    <row r="46" s="1" customFormat="1" spans="1:18">
      <c r="A46" s="8" t="s">
        <v>262</v>
      </c>
      <c r="B46" s="8" t="s">
        <v>307</v>
      </c>
      <c r="C46" s="8">
        <v>441.82</v>
      </c>
      <c r="D46" s="8">
        <v>417.82</v>
      </c>
      <c r="E46" s="9">
        <f>RANK(D46,$D$2:$D$63)</f>
        <v>40</v>
      </c>
      <c r="F46" s="8">
        <v>245.82</v>
      </c>
      <c r="G46" s="8">
        <v>99.5</v>
      </c>
      <c r="H46" s="8">
        <v>51</v>
      </c>
      <c r="I46" s="8">
        <v>95.32</v>
      </c>
      <c r="J46" s="8">
        <v>64</v>
      </c>
      <c r="K46" s="8">
        <v>64</v>
      </c>
      <c r="L46" s="8">
        <v>77</v>
      </c>
      <c r="M46" s="8">
        <v>55</v>
      </c>
      <c r="N46" s="8">
        <v>31</v>
      </c>
      <c r="O46" s="8" t="s">
        <v>21</v>
      </c>
      <c r="P46" s="10">
        <v>532</v>
      </c>
      <c r="Q46" s="9">
        <f>RANK(P46,$P$2:$P$63)</f>
        <v>7</v>
      </c>
      <c r="R46" s="11">
        <f>Q46-E46</f>
        <v>-33</v>
      </c>
    </row>
  </sheetData>
  <sortState ref="A2:XEX46">
    <sortCondition ref="R2:R46" descending="1"/>
  </sortState>
  <conditionalFormatting sqref="B$1:B$1048576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物理类</vt:lpstr>
      <vt:lpstr>历史类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枚老板</cp:lastModifiedBy>
  <dcterms:created xsi:type="dcterms:W3CDTF">2026-03-01T11:56:12Z</dcterms:created>
  <dcterms:modified xsi:type="dcterms:W3CDTF">2026-03-01T12:06:56Z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99EC87EC8443408E8E2BEEEB59C967DF_11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